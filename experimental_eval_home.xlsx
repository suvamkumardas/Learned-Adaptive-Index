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al_learned_index" sheetId="1" state="visible" r:id="rId3"/>
    <sheet name="Uniform_Read_Only" sheetId="2" state="visible" r:id="rId4"/>
    <sheet name="Uniform_Read_90_Ins_10" sheetId="3" state="visible" r:id="rId5"/>
    <sheet name="Uniform_Read_80_Ins_20" sheetId="4" state="visible" r:id="rId6"/>
    <sheet name="Zipf_Read_Only" sheetId="5" state="visible" r:id="rId7"/>
    <sheet name="Zipf_Read_90_Ins_10" sheetId="6" state="visible" r:id="rId8"/>
    <sheet name="Zipf_Read_80_Ins_20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<sst xmlns="http://schemas.openxmlformats.org/spreadsheetml/2006/main" count="374" uniqueCount="95">
  <si>
    <r>
      <rPr>
        <b val="true"/>
        <sz val="10"/>
        <rFont val="Arial"/>
        <family val="2"/>
        <charset val="1"/>
      </rPr>
      <t xml:space="preserve">Original Dataset Size : 20M
Inserted Dataset Size : 2M
Queries: 20 K (10K from Original Data, 10K from Inserted Data)
</t>
    </r>
    <r>
      <rPr>
        <b val="true"/>
        <sz val="10"/>
        <color rgb="FFC9211E"/>
        <rFont val="Arial"/>
        <family val="2"/>
        <charset val="1"/>
      </rPr>
      <t xml:space="preserve">All times are in seconds</t>
    </r>
  </si>
  <si>
    <t xml:space="preserve">Build Time</t>
  </si>
  <si>
    <t xml:space="preserve">Insert Time</t>
  </si>
  <si>
    <t xml:space="preserve">Total Query Time (Original)</t>
  </si>
  <si>
    <t xml:space="preserve">Total Query Time (Inserted)</t>
  </si>
  <si>
    <t xml:space="preserve">Total Time</t>
  </si>
  <si>
    <t xml:space="preserve">Configuration</t>
  </si>
  <si>
    <t xml:space="preserve">SALI</t>
  </si>
  <si>
    <t xml:space="preserve">Run 1</t>
  </si>
  <si>
    <t xml:space="preserve">initial memory pool size = 100</t>
  </si>
  <si>
    <t xml:space="preserve">Run 2</t>
  </si>
  <si>
    <t xml:space="preserve">Run 3</t>
  </si>
  <si>
    <t xml:space="preserve">Avg</t>
  </si>
  <si>
    <t xml:space="preserve">LIPP</t>
  </si>
  <si>
    <t xml:space="preserve">TULSI</t>
  </si>
  <si>
    <t xml:space="preserve">Radix = 18, Max_error = 32, Bucket_size = 100, Buffer_size = 100</t>
  </si>
  <si>
    <t xml:space="preserve">SCAN</t>
  </si>
  <si>
    <t xml:space="preserve">SORT</t>
  </si>
  <si>
    <t xml:space="preserve">CRACK</t>
  </si>
  <si>
    <t xml:space="preserve">DDC</t>
  </si>
  <si>
    <t xml:space="preserve">DDR</t>
  </si>
  <si>
    <t xml:space="preserve">DD1C</t>
  </si>
  <si>
    <t xml:space="preserve">DD1R</t>
  </si>
  <si>
    <t xml:space="preserve">MDD1R</t>
  </si>
  <si>
    <t xml:space="preserve">MDD1RP1</t>
  </si>
  <si>
    <t xml:space="preserve">MDD1RP5</t>
  </si>
  <si>
    <t xml:space="preserve">MDD1RP10</t>
  </si>
  <si>
    <t xml:space="preserve">MDD1RP50</t>
  </si>
  <si>
    <t xml:space="preserve">AICC1R</t>
  </si>
  <si>
    <t xml:space="preserve">AICS1R</t>
  </si>
  <si>
    <t xml:space="preserve">FLAIRS</t>
  </si>
  <si>
    <t xml:space="preserve">FLAIRS_wofc</t>
  </si>
  <si>
    <t xml:space="preserve">LAI (Pred)</t>
  </si>
  <si>
    <t xml:space="preserve">uery Type 0 = 2 Runtime = 4.87446e+09</t>
  </si>
  <si>
    <t xml:space="preserve">2K</t>
  </si>
  <si>
    <t xml:space="preserve">Query Type 1 = 5036 Runtime = 3.52351e+06</t>
  </si>
  <si>
    <t xml:space="preserve">4K</t>
  </si>
  <si>
    <t xml:space="preserve">Query Type 2 = 14949 Runtime = 1.07774e+09</t>
  </si>
  <si>
    <t xml:space="preserve">6K</t>
  </si>
  <si>
    <t xml:space="preserve">Query Type 3 = 8 Runtime = 3.19842e+08</t>
  </si>
  <si>
    <t xml:space="preserve">8K</t>
  </si>
  <si>
    <t xml:space="preserve">Query Type 4 = 4 Runtime = 5.17281e+08</t>
  </si>
  <si>
    <t xml:space="preserve">10K</t>
  </si>
  <si>
    <t xml:space="preserve">Query Type 5 = 1 Runtime = 4.09912e+09</t>
  </si>
  <si>
    <t xml:space="preserve">12K</t>
  </si>
  <si>
    <t xml:space="preserve">14K</t>
  </si>
  <si>
    <t xml:space="preserve">16K</t>
  </si>
  <si>
    <t xml:space="preserve">18K</t>
  </si>
  <si>
    <t xml:space="preserve">20K</t>
  </si>
  <si>
    <t xml:space="preserve">Cumulative Runtime (1 queries)</t>
  </si>
  <si>
    <t xml:space="preserve">Cumulative Runtime (2000 queries)</t>
  </si>
  <si>
    <t xml:space="preserve">Cumulative Runtime (4000 queries)</t>
  </si>
  <si>
    <t xml:space="preserve">Cumulative Runtime (6000 queries)</t>
  </si>
  <si>
    <t xml:space="preserve">Cumulative Runtime (8000 queries)</t>
  </si>
  <si>
    <t xml:space="preserve">Cumulative Runtime (10000 queries)</t>
  </si>
  <si>
    <t xml:space="preserve">Cumulative Runtime (12000 queries)</t>
  </si>
  <si>
    <t xml:space="preserve">Cumulative Runtime (14000 queries)</t>
  </si>
  <si>
    <t xml:space="preserve">Cumulative Runtime (16000 queries)</t>
  </si>
  <si>
    <t xml:space="preserve">Cumulative Runtime (18000 queries)</t>
  </si>
  <si>
    <t xml:space="preserve">Cumulative Runtime (20000 queries)</t>
  </si>
  <si>
    <t xml:space="preserve">Query Sequence</t>
  </si>
  <si>
    <t xml:space="preserve">Low</t>
  </si>
  <si>
    <t xml:space="preserve">High</t>
  </si>
  <si>
    <t xml:space="preserve">Query Type 0 = 1 Runtime = 6.0842e+09</t>
  </si>
  <si>
    <t xml:space="preserve">Query Type 1 = 6457 Runtime = 1.75876e+08</t>
  </si>
  <si>
    <t xml:space="preserve">Query Type 2 = 11614 Runtime = 3.60105e+09</t>
  </si>
  <si>
    <t xml:space="preserve">Query Type 3 = 8 Runtime = 1.32629e+09</t>
  </si>
  <si>
    <t xml:space="preserve">Query Type 4 = 10 Runtime = 2.8566e+09</t>
  </si>
  <si>
    <t xml:space="preserve">Query Type 5 = 0 Runtime = 0</t>
  </si>
  <si>
    <t xml:space="preserve">Query Type 0 = 2 Runtime = 9.05294e+09</t>
  </si>
  <si>
    <t xml:space="preserve">Query Type 1 = 13464 Runtime = 3.7201e+09</t>
  </si>
  <si>
    <t xml:space="preserve">Query Type 2 = 4515 Runtime = 4.3764e+08</t>
  </si>
  <si>
    <t xml:space="preserve">Query Type 3 = 10 Runtime = 9.26645e+08</t>
  </si>
  <si>
    <t xml:space="preserve">Query Type 4 = 4 Runtime = 2.6148e+08</t>
  </si>
  <si>
    <t xml:space="preserve">Query Type 0 = 2 Runtime = 6.36434e+09</t>
  </si>
  <si>
    <t xml:space="preserve">Query Type 1 = 7103 Runtime = 4.48922e+06</t>
  </si>
  <si>
    <t xml:space="preserve">Query Type 2 = 12874 Runtime = 7.05326e+07</t>
  </si>
  <si>
    <t xml:space="preserve">Query Type 3 = 11 Runtime = 2.06896e+09</t>
  </si>
  <si>
    <t xml:space="preserve">Query Type 4 = 10 Runtime = 2.03776e+09</t>
  </si>
  <si>
    <t xml:space="preserve">Query Type 0 = 3 Runtime = 4.5399e+09</t>
  </si>
  <si>
    <t xml:space="preserve">Query Type 1 = 2220 Runtime = 6.6853e+07</t>
  </si>
  <si>
    <t xml:space="preserve">Query Type 2 = 15713 Runtime = 2.6949e+09</t>
  </si>
  <si>
    <t xml:space="preserve">Query Type 3 = 9 Runtime = 4.71492e+09</t>
  </si>
  <si>
    <t xml:space="preserve">Query Type 4 = 10 Runtime = 3.00741e+09</t>
  </si>
  <si>
    <t xml:space="preserve">Query Type 5 = 1 Runtime = 2.68183e+09</t>
  </si>
  <si>
    <t xml:space="preserve">Query Type 0 = 1 Runtime = 3.86923e+09</t>
  </si>
  <si>
    <t xml:space="preserve">Query Type 1 = 16470 Runtime = 7.62394e+06</t>
  </si>
  <si>
    <t xml:space="preserve">Query Type 2 = 3519 Runtime = 1.78019e+06</t>
  </si>
  <si>
    <t xml:space="preserve">Query Type 3 = 10 Runtime = 7.9603e+08</t>
  </si>
  <si>
    <t xml:space="preserve">Query Type 4 = 0 Runtime = 0</t>
  </si>
  <si>
    <t xml:space="preserve">Query Type 0 = 3 Runtime = 7.04209e+09</t>
  </si>
  <si>
    <t xml:space="preserve">Query Type 1 = 3065 Runtime = 8.32095e+07</t>
  </si>
  <si>
    <t xml:space="preserve">Query Type 2 = 12852 Runtime = 6.71184e+09</t>
  </si>
  <si>
    <t xml:space="preserve">Query Type 3 = 17 Runtime = 3.27034e+09</t>
  </si>
  <si>
    <t xml:space="preserve">Query Type 4 = 6 Runtime = 8.52583e+07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</si>
</sst>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b val="true"/>
      <sz val="14"/>
      <color rgb="FF000000"/>
      <name val="Arial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5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color rgb="FF000000"/>
      <name val="Arial"/>
      <family val="2"/>
    </font>
    <font>
      <sz val="18"/>
      <color rgb="FF000000"/>
      <name val="Arial"/>
      <family val="2"/>
    </font>
    <font>
      <b val="true"/>
      <sz val="18"/>
      <color rgb="FF000000"/>
      <name val="Arial"/>
      <family val="2"/>
    </font>
    <font>
      <b val="true"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C9211E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6757922370148"/>
          <c:y val="0.194577175241694"/>
          <c:w val="0.852990811925745"/>
          <c:h val="0.713079231025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eval_learned_index!$C$22</c:f>
              <c:strCache>
                <c:ptCount val="1"/>
                <c:pt idx="0">
                  <c:v>Build Time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eval_learned_index!$B$23:$B$25</c:f>
              <c:strCache>
                <c:ptCount val="3"/>
                <c:pt idx="0">
                  <c:v>SALI</c:v>
                </c:pt>
                <c:pt idx="1">
                  <c:v>LIPP</c:v>
                </c:pt>
                <c:pt idx="2">
                  <c:v>TULSI</c:v>
                </c:pt>
              </c:strCache>
            </c:strRef>
          </c:cat>
          <c:val>
            <c:numRef>
              <c:f>eval_learned_index!$C$23:$C$25</c:f>
              <c:numCache>
                <c:formatCode>General</c:formatCode>
                <c:ptCount val="3"/>
                <c:pt idx="0">
                  <c:v>3.82796</c:v>
                </c:pt>
                <c:pt idx="1">
                  <c:v>1.52907666666667</c:v>
                </c:pt>
                <c:pt idx="2">
                  <c:v>0.495337</c:v>
                </c:pt>
              </c:numCache>
            </c:numRef>
          </c:val>
        </c:ser>
        <c:ser>
          <c:idx val="1"/>
          <c:order val="1"/>
          <c:tx>
            <c:strRef>
              <c:f>eval_learned_index!$D$22</c:f>
              <c:strCache>
                <c:ptCount val="1"/>
                <c:pt idx="0">
                  <c:v>Insert Time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eval_learned_index!$B$23:$B$25</c:f>
              <c:strCache>
                <c:ptCount val="3"/>
                <c:pt idx="0">
                  <c:v>SALI</c:v>
                </c:pt>
                <c:pt idx="1">
                  <c:v>LIPP</c:v>
                </c:pt>
                <c:pt idx="2">
                  <c:v>TULSI</c:v>
                </c:pt>
              </c:strCache>
            </c:strRef>
          </c:cat>
          <c:val>
            <c:numRef>
              <c:f>eval_learned_index!$D$23:$D$25</c:f>
              <c:numCache>
                <c:formatCode>General</c:formatCode>
                <c:ptCount val="3"/>
                <c:pt idx="0">
                  <c:v>0.669850333333333</c:v>
                </c:pt>
                <c:pt idx="1">
                  <c:v>0.250351666666667</c:v>
                </c:pt>
                <c:pt idx="2">
                  <c:v>0.683784333333333</c:v>
                </c:pt>
              </c:numCache>
            </c:numRef>
          </c:val>
        </c:ser>
        <c:ser>
          <c:idx val="2"/>
          <c:order val="2"/>
          <c:tx>
            <c:strRef>
              <c:f>eval_learned_index!$E$22</c:f>
              <c:strCache>
                <c:ptCount val="1"/>
                <c:pt idx="0">
                  <c:v>Total Query Time (Original)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eval_learned_index!$B$23:$B$25</c:f>
              <c:strCache>
                <c:ptCount val="3"/>
                <c:pt idx="0">
                  <c:v>SALI</c:v>
                </c:pt>
                <c:pt idx="1">
                  <c:v>LIPP</c:v>
                </c:pt>
                <c:pt idx="2">
                  <c:v>TULSI</c:v>
                </c:pt>
              </c:strCache>
            </c:strRef>
          </c:cat>
          <c:val>
            <c:numRef>
              <c:f>eval_learned_index!$E$23:$E$25</c:f>
              <c:numCache>
                <c:formatCode>General</c:formatCode>
                <c:ptCount val="3"/>
                <c:pt idx="0">
                  <c:v>0.00606472333333333</c:v>
                </c:pt>
                <c:pt idx="1">
                  <c:v>0.00548438333333333</c:v>
                </c:pt>
                <c:pt idx="2">
                  <c:v>0.0126847</c:v>
                </c:pt>
              </c:numCache>
            </c:numRef>
          </c:val>
        </c:ser>
        <c:ser>
          <c:idx val="3"/>
          <c:order val="3"/>
          <c:tx>
            <c:strRef>
              <c:f>eval_learned_index!$F$22</c:f>
              <c:strCache>
                <c:ptCount val="1"/>
                <c:pt idx="0">
                  <c:v>Total Query Time (Inserted)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eval_learned_index!$B$23:$B$25</c:f>
              <c:strCache>
                <c:ptCount val="3"/>
                <c:pt idx="0">
                  <c:v>SALI</c:v>
                </c:pt>
                <c:pt idx="1">
                  <c:v>LIPP</c:v>
                </c:pt>
                <c:pt idx="2">
                  <c:v>TULSI</c:v>
                </c:pt>
              </c:strCache>
            </c:strRef>
          </c:cat>
          <c:val>
            <c:numRef>
              <c:f>eval_learned_index!$F$23:$F$25</c:f>
              <c:numCache>
                <c:formatCode>General</c:formatCode>
                <c:ptCount val="3"/>
                <c:pt idx="0">
                  <c:v>0.00524490333333333</c:v>
                </c:pt>
                <c:pt idx="1">
                  <c:v>0.00461656</c:v>
                </c:pt>
                <c:pt idx="2">
                  <c:v>0.0126400666666667</c:v>
                </c:pt>
              </c:numCache>
            </c:numRef>
          </c:val>
        </c:ser>
        <c:gapWidth val="100"/>
        <c:overlap val="100"/>
        <c:axId val="75044137"/>
        <c:axId val="81243229"/>
      </c:barChart>
      <c:catAx>
        <c:axId val="750441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1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1243229"/>
        <c:crossesAt val="0"/>
        <c:auto val="1"/>
        <c:lblAlgn val="ctr"/>
        <c:lblOffset val="100"/>
        <c:noMultiLvlLbl val="0"/>
      </c:catAx>
      <c:valAx>
        <c:axId val="812432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5044137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"/>
          <c:y val="0"/>
          <c:w val="0.999937503906006"/>
          <c:h val="0.17090787865318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Uniform_Read_Only!$E$4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Uniform_Read_Only!$F$4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Uniform_Read_Only!$F$5:$F$15</c:f>
              <c:numCache>
                <c:formatCode>General</c:formatCode>
                <c:ptCount val="11"/>
                <c:pt idx="0">
                  <c:v>1.912</c:v>
                </c:pt>
                <c:pt idx="1">
                  <c:v>11.304</c:v>
                </c:pt>
                <c:pt idx="2">
                  <c:v>12.244</c:v>
                </c:pt>
                <c:pt idx="3">
                  <c:v>12.803</c:v>
                </c:pt>
                <c:pt idx="4">
                  <c:v>13.202</c:v>
                </c:pt>
                <c:pt idx="5">
                  <c:v>13.504</c:v>
                </c:pt>
                <c:pt idx="6">
                  <c:v>13.756</c:v>
                </c:pt>
                <c:pt idx="7">
                  <c:v>13.969</c:v>
                </c:pt>
                <c:pt idx="8">
                  <c:v>14.161</c:v>
                </c:pt>
                <c:pt idx="9">
                  <c:v>14.332</c:v>
                </c:pt>
                <c:pt idx="10">
                  <c:v>14.486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Uniform_Read_Only!$G$5:$G$15</c:f>
              <c:numCache>
                <c:formatCode>General</c:formatCode>
                <c:ptCount val="11"/>
                <c:pt idx="0">
                  <c:v>4.011</c:v>
                </c:pt>
                <c:pt idx="1">
                  <c:v>14.231</c:v>
                </c:pt>
                <c:pt idx="2">
                  <c:v>15.195</c:v>
                </c:pt>
                <c:pt idx="3">
                  <c:v>15.779</c:v>
                </c:pt>
                <c:pt idx="4">
                  <c:v>16.202</c:v>
                </c:pt>
                <c:pt idx="5">
                  <c:v>16.522</c:v>
                </c:pt>
                <c:pt idx="6">
                  <c:v>16.8</c:v>
                </c:pt>
                <c:pt idx="7">
                  <c:v>17.032</c:v>
                </c:pt>
                <c:pt idx="8">
                  <c:v>17.239</c:v>
                </c:pt>
                <c:pt idx="9">
                  <c:v>17.429</c:v>
                </c:pt>
                <c:pt idx="10">
                  <c:v>17.6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Uniform_Read_Only!$H$5:$H$15</c:f>
              <c:numCache>
                <c:formatCode>General</c:formatCode>
                <c:ptCount val="11"/>
                <c:pt idx="0">
                  <c:v>2.864</c:v>
                </c:pt>
                <c:pt idx="1">
                  <c:v>12.769</c:v>
                </c:pt>
                <c:pt idx="2">
                  <c:v>13.722</c:v>
                </c:pt>
                <c:pt idx="3">
                  <c:v>14.302</c:v>
                </c:pt>
                <c:pt idx="4">
                  <c:v>14.72</c:v>
                </c:pt>
                <c:pt idx="5">
                  <c:v>15.035</c:v>
                </c:pt>
                <c:pt idx="6">
                  <c:v>15.299</c:v>
                </c:pt>
                <c:pt idx="7">
                  <c:v>15.531</c:v>
                </c:pt>
                <c:pt idx="8">
                  <c:v>15.739</c:v>
                </c:pt>
                <c:pt idx="9">
                  <c:v>15.925</c:v>
                </c:pt>
                <c:pt idx="10">
                  <c:v>16.091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Uniform_Read_Only!$I$5:$I$15</c:f>
              <c:numCache>
                <c:formatCode>General</c:formatCode>
                <c:ptCount val="11"/>
                <c:pt idx="0">
                  <c:v>3.082</c:v>
                </c:pt>
                <c:pt idx="1">
                  <c:v>12.863</c:v>
                </c:pt>
                <c:pt idx="2">
                  <c:v>13.774</c:v>
                </c:pt>
                <c:pt idx="3">
                  <c:v>14.328</c:v>
                </c:pt>
                <c:pt idx="4">
                  <c:v>14.724</c:v>
                </c:pt>
                <c:pt idx="5">
                  <c:v>15.029</c:v>
                </c:pt>
                <c:pt idx="6">
                  <c:v>15.286</c:v>
                </c:pt>
                <c:pt idx="7">
                  <c:v>15.507</c:v>
                </c:pt>
                <c:pt idx="8">
                  <c:v>15.705</c:v>
                </c:pt>
                <c:pt idx="9">
                  <c:v>15.88</c:v>
                </c:pt>
                <c:pt idx="10">
                  <c:v>16.037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Uniform_Read_Only!$J$5:$J$15</c:f>
              <c:numCache>
                <c:formatCode>General</c:formatCode>
                <c:ptCount val="11"/>
                <c:pt idx="0">
                  <c:v>2.447</c:v>
                </c:pt>
                <c:pt idx="1">
                  <c:v>11.484</c:v>
                </c:pt>
                <c:pt idx="2">
                  <c:v>12.426</c:v>
                </c:pt>
                <c:pt idx="3">
                  <c:v>12.973</c:v>
                </c:pt>
                <c:pt idx="4">
                  <c:v>13.368</c:v>
                </c:pt>
                <c:pt idx="5">
                  <c:v>13.674</c:v>
                </c:pt>
                <c:pt idx="6">
                  <c:v>13.923</c:v>
                </c:pt>
                <c:pt idx="7">
                  <c:v>14.138</c:v>
                </c:pt>
                <c:pt idx="8">
                  <c:v>14.329</c:v>
                </c:pt>
                <c:pt idx="9">
                  <c:v>14.5</c:v>
                </c:pt>
                <c:pt idx="10">
                  <c:v>14.657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Uniform_Read_Only!$R$5:$R$15</c:f>
              <c:numCache>
                <c:formatCode>General</c:formatCode>
                <c:ptCount val="11"/>
                <c:pt idx="0">
                  <c:v>1.62106</c:v>
                </c:pt>
                <c:pt idx="1">
                  <c:v>10.864</c:v>
                </c:pt>
                <c:pt idx="2">
                  <c:v>10.8695</c:v>
                </c:pt>
                <c:pt idx="3">
                  <c:v>10.8743</c:v>
                </c:pt>
                <c:pt idx="4">
                  <c:v>10.8797</c:v>
                </c:pt>
                <c:pt idx="5">
                  <c:v>10.8825</c:v>
                </c:pt>
                <c:pt idx="6">
                  <c:v>10.8853</c:v>
                </c:pt>
                <c:pt idx="7">
                  <c:v>10.8878</c:v>
                </c:pt>
                <c:pt idx="8">
                  <c:v>10.8903</c:v>
                </c:pt>
                <c:pt idx="9">
                  <c:v>10.8928</c:v>
                </c:pt>
                <c:pt idx="10">
                  <c:v>10.8953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519104"/>
        <c:axId val="97392960"/>
      </c:lineChart>
      <c:catAx>
        <c:axId val="43519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392960"/>
        <c:crosses val="autoZero"/>
        <c:auto val="1"/>
        <c:lblAlgn val="ctr"/>
        <c:lblOffset val="100"/>
        <c:noMultiLvlLbl val="0"/>
      </c:catAx>
      <c:valAx>
        <c:axId val="97392960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351910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6331877729258"/>
          <c:y val="0.12628290941544"/>
          <c:w val="0.835298398835517"/>
          <c:h val="0.697902721999108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Uniform_Read_Only!$F$5:$F$15</c:f>
              <c:numCache>
                <c:formatCode>General</c:formatCode>
                <c:ptCount val="11"/>
                <c:pt idx="0">
                  <c:v>1.912</c:v>
                </c:pt>
                <c:pt idx="1">
                  <c:v>11.304</c:v>
                </c:pt>
                <c:pt idx="2">
                  <c:v>12.244</c:v>
                </c:pt>
                <c:pt idx="3">
                  <c:v>12.803</c:v>
                </c:pt>
                <c:pt idx="4">
                  <c:v>13.202</c:v>
                </c:pt>
                <c:pt idx="5">
                  <c:v>13.504</c:v>
                </c:pt>
                <c:pt idx="6">
                  <c:v>13.756</c:v>
                </c:pt>
                <c:pt idx="7">
                  <c:v>13.969</c:v>
                </c:pt>
                <c:pt idx="8">
                  <c:v>14.161</c:v>
                </c:pt>
                <c:pt idx="9">
                  <c:v>14.332</c:v>
                </c:pt>
                <c:pt idx="10">
                  <c:v>14.486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Uniform_Read_Only!$G$5:$G$15</c:f>
              <c:numCache>
                <c:formatCode>General</c:formatCode>
                <c:ptCount val="11"/>
                <c:pt idx="0">
                  <c:v>4.011</c:v>
                </c:pt>
                <c:pt idx="1">
                  <c:v>14.231</c:v>
                </c:pt>
                <c:pt idx="2">
                  <c:v>15.195</c:v>
                </c:pt>
                <c:pt idx="3">
                  <c:v>15.779</c:v>
                </c:pt>
                <c:pt idx="4">
                  <c:v>16.202</c:v>
                </c:pt>
                <c:pt idx="5">
                  <c:v>16.522</c:v>
                </c:pt>
                <c:pt idx="6">
                  <c:v>16.8</c:v>
                </c:pt>
                <c:pt idx="7">
                  <c:v>17.032</c:v>
                </c:pt>
                <c:pt idx="8">
                  <c:v>17.239</c:v>
                </c:pt>
                <c:pt idx="9">
                  <c:v>17.429</c:v>
                </c:pt>
                <c:pt idx="10">
                  <c:v>17.6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Uniform_Read_Only!$K$4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Uniform_Read_Only!$K$5:$K$15</c:f>
              <c:numCache>
                <c:formatCode>General</c:formatCode>
                <c:ptCount val="11"/>
                <c:pt idx="0">
                  <c:v>2.26</c:v>
                </c:pt>
                <c:pt idx="1">
                  <c:v>18.822</c:v>
                </c:pt>
                <c:pt idx="2">
                  <c:v>20.43</c:v>
                </c:pt>
                <c:pt idx="3">
                  <c:v>21.36</c:v>
                </c:pt>
                <c:pt idx="4">
                  <c:v>22.035</c:v>
                </c:pt>
                <c:pt idx="5">
                  <c:v>22.544</c:v>
                </c:pt>
                <c:pt idx="6">
                  <c:v>22.985</c:v>
                </c:pt>
                <c:pt idx="7">
                  <c:v>23.354</c:v>
                </c:pt>
                <c:pt idx="8">
                  <c:v>23.676</c:v>
                </c:pt>
                <c:pt idx="9">
                  <c:v>23.964</c:v>
                </c:pt>
                <c:pt idx="10">
                  <c:v>24.222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Uniform_Read_Only!$H$5:$H$15</c:f>
              <c:numCache>
                <c:formatCode>General</c:formatCode>
                <c:ptCount val="11"/>
                <c:pt idx="0">
                  <c:v>2.864</c:v>
                </c:pt>
                <c:pt idx="1">
                  <c:v>12.769</c:v>
                </c:pt>
                <c:pt idx="2">
                  <c:v>13.722</c:v>
                </c:pt>
                <c:pt idx="3">
                  <c:v>14.302</c:v>
                </c:pt>
                <c:pt idx="4">
                  <c:v>14.72</c:v>
                </c:pt>
                <c:pt idx="5">
                  <c:v>15.035</c:v>
                </c:pt>
                <c:pt idx="6">
                  <c:v>15.299</c:v>
                </c:pt>
                <c:pt idx="7">
                  <c:v>15.531</c:v>
                </c:pt>
                <c:pt idx="8">
                  <c:v>15.739</c:v>
                </c:pt>
                <c:pt idx="9">
                  <c:v>15.925</c:v>
                </c:pt>
                <c:pt idx="10">
                  <c:v>16.091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Uniform_Read_Only!$I$5:$I$15</c:f>
              <c:numCache>
                <c:formatCode>General</c:formatCode>
                <c:ptCount val="11"/>
                <c:pt idx="0">
                  <c:v>3.082</c:v>
                </c:pt>
                <c:pt idx="1">
                  <c:v>12.863</c:v>
                </c:pt>
                <c:pt idx="2">
                  <c:v>13.774</c:v>
                </c:pt>
                <c:pt idx="3">
                  <c:v>14.328</c:v>
                </c:pt>
                <c:pt idx="4">
                  <c:v>14.724</c:v>
                </c:pt>
                <c:pt idx="5">
                  <c:v>15.029</c:v>
                </c:pt>
                <c:pt idx="6">
                  <c:v>15.286</c:v>
                </c:pt>
                <c:pt idx="7">
                  <c:v>15.507</c:v>
                </c:pt>
                <c:pt idx="8">
                  <c:v>15.705</c:v>
                </c:pt>
                <c:pt idx="9">
                  <c:v>15.88</c:v>
                </c:pt>
                <c:pt idx="10">
                  <c:v>16.037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Uniform_Read_Only!$J$5:$J$15</c:f>
              <c:numCache>
                <c:formatCode>General</c:formatCode>
                <c:ptCount val="11"/>
                <c:pt idx="0">
                  <c:v>2.447</c:v>
                </c:pt>
                <c:pt idx="1">
                  <c:v>11.484</c:v>
                </c:pt>
                <c:pt idx="2">
                  <c:v>12.426</c:v>
                </c:pt>
                <c:pt idx="3">
                  <c:v>12.973</c:v>
                </c:pt>
                <c:pt idx="4">
                  <c:v>13.368</c:v>
                </c:pt>
                <c:pt idx="5">
                  <c:v>13.674</c:v>
                </c:pt>
                <c:pt idx="6">
                  <c:v>13.923</c:v>
                </c:pt>
                <c:pt idx="7">
                  <c:v>14.138</c:v>
                </c:pt>
                <c:pt idx="8">
                  <c:v>14.329</c:v>
                </c:pt>
                <c:pt idx="9">
                  <c:v>14.5</c:v>
                </c:pt>
                <c:pt idx="10">
                  <c:v>14.657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Uniform_Read_Only!$R$5:$R$15</c:f>
              <c:numCache>
                <c:formatCode>General</c:formatCode>
                <c:ptCount val="11"/>
                <c:pt idx="0">
                  <c:v>1.62106</c:v>
                </c:pt>
                <c:pt idx="1">
                  <c:v>10.864</c:v>
                </c:pt>
                <c:pt idx="2">
                  <c:v>10.8695</c:v>
                </c:pt>
                <c:pt idx="3">
                  <c:v>10.8743</c:v>
                </c:pt>
                <c:pt idx="4">
                  <c:v>10.8797</c:v>
                </c:pt>
                <c:pt idx="5">
                  <c:v>10.8825</c:v>
                </c:pt>
                <c:pt idx="6">
                  <c:v>10.8853</c:v>
                </c:pt>
                <c:pt idx="7">
                  <c:v>10.8878</c:v>
                </c:pt>
                <c:pt idx="8">
                  <c:v>10.8903</c:v>
                </c:pt>
                <c:pt idx="9">
                  <c:v>10.8928</c:v>
                </c:pt>
                <c:pt idx="10">
                  <c:v>10.8953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782791"/>
        <c:axId val="98687371"/>
      </c:lineChart>
      <c:catAx>
        <c:axId val="28782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8413391557496"/>
              <c:y val="0.91465863453815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8687371"/>
        <c:crosses val="autoZero"/>
        <c:auto val="1"/>
        <c:lblAlgn val="ctr"/>
        <c:lblOffset val="100"/>
        <c:noMultiLvlLbl val="0"/>
      </c:catAx>
      <c:valAx>
        <c:axId val="9868737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8782791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22050796885234"/>
          <c:y val="0.0205242610150586"/>
          <c:w val="0.960844250363901"/>
          <c:h val="0.066488174921909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2061779186619"/>
          <c:y val="0.149537460607909"/>
          <c:w val="0.887165306535375"/>
          <c:h val="0.704788045135712"/>
        </c:manualLayout>
      </c:layout>
      <c:scatterChart>
        <c:scatterStyle val="lineMarker"/>
        <c:varyColors val="0"/>
        <c:ser>
          <c:idx val="0"/>
          <c:order val="0"/>
          <c:tx>
            <c:strRef>
              <c:f>Uniform_Read_Only!$G$43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Uniform_Read_Only!$F$44:$F$58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Uniform_Read_Only!$G$44:$G$58</c:f>
              <c:numCache>
                <c:formatCode>General</c:formatCode>
                <c:ptCount val="15"/>
                <c:pt idx="0">
                  <c:v>1</c:v>
                </c:pt>
                <c:pt idx="1">
                  <c:v>21</c:v>
                </c:pt>
                <c:pt idx="2">
                  <c:v>41</c:v>
                </c:pt>
                <c:pt idx="3">
                  <c:v>61</c:v>
                </c:pt>
                <c:pt idx="4">
                  <c:v>81</c:v>
                </c:pt>
                <c:pt idx="5">
                  <c:v>12</c:v>
                </c:pt>
                <c:pt idx="6">
                  <c:v>32</c:v>
                </c:pt>
                <c:pt idx="7">
                  <c:v>52</c:v>
                </c:pt>
                <c:pt idx="8">
                  <c:v>72</c:v>
                </c:pt>
                <c:pt idx="9">
                  <c:v>92</c:v>
                </c:pt>
                <c:pt idx="10">
                  <c:v>23</c:v>
                </c:pt>
                <c:pt idx="11">
                  <c:v>43</c:v>
                </c:pt>
                <c:pt idx="12">
                  <c:v>63</c:v>
                </c:pt>
                <c:pt idx="13">
                  <c:v>83</c:v>
                </c:pt>
                <c:pt idx="14">
                  <c:v>103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Uniform_Read_Only!$H$43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Uniform_Read_Only!$F$44:$F$58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Uniform_Read_Only!$H$44:$H$58</c:f>
              <c:numCache>
                <c:formatCode>General</c:formatCode>
                <c:ptCount val="15"/>
                <c:pt idx="0">
                  <c:v>100</c:v>
                </c:pt>
                <c:pt idx="1">
                  <c:v>130</c:v>
                </c:pt>
                <c:pt idx="2">
                  <c:v>150</c:v>
                </c:pt>
                <c:pt idx="3">
                  <c:v>170</c:v>
                </c:pt>
                <c:pt idx="4">
                  <c:v>190</c:v>
                </c:pt>
                <c:pt idx="5">
                  <c:v>111</c:v>
                </c:pt>
                <c:pt idx="6">
                  <c:v>141</c:v>
                </c:pt>
                <c:pt idx="7">
                  <c:v>161</c:v>
                </c:pt>
                <c:pt idx="8">
                  <c:v>181</c:v>
                </c:pt>
                <c:pt idx="9">
                  <c:v>201</c:v>
                </c:pt>
                <c:pt idx="10">
                  <c:v>122</c:v>
                </c:pt>
                <c:pt idx="11">
                  <c:v>152</c:v>
                </c:pt>
                <c:pt idx="12">
                  <c:v>172</c:v>
                </c:pt>
                <c:pt idx="13">
                  <c:v>192</c:v>
                </c:pt>
                <c:pt idx="14">
                  <c:v>212</c:v>
                </c:pt>
              </c:numCache>
            </c:numRef>
          </c:yVal>
          <c:smooth val="0"/>
        </c:ser>
        <c:axId val="60551711"/>
        <c:axId val="35753406"/>
      </c:scatterChart>
      <c:valAx>
        <c:axId val="60551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36278411006947"/>
              <c:y val="0.87445359357527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5753406"/>
        <c:crosses val="autoZero"/>
        <c:crossBetween val="midCat"/>
      </c:valAx>
      <c:valAx>
        <c:axId val="3575340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3309952221205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05517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27623415160507"/>
          <c:y val="0.0205326285830453"/>
          <c:w val="0.46583934713698"/>
          <c:h val="0.0879333130019315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1265158144768"/>
          <c:y val="0.058679706601467"/>
          <c:w val="0.845980747593449"/>
          <c:h val="0.67648366303623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Uniform_Read_Only!$F$5:$F$15</c:f>
              <c:numCache>
                <c:formatCode>General</c:formatCode>
                <c:ptCount val="11"/>
                <c:pt idx="0">
                  <c:v>1.912</c:v>
                </c:pt>
                <c:pt idx="1">
                  <c:v>11.304</c:v>
                </c:pt>
                <c:pt idx="2">
                  <c:v>12.244</c:v>
                </c:pt>
                <c:pt idx="3">
                  <c:v>12.803</c:v>
                </c:pt>
                <c:pt idx="4">
                  <c:v>13.202</c:v>
                </c:pt>
                <c:pt idx="5">
                  <c:v>13.504</c:v>
                </c:pt>
                <c:pt idx="6">
                  <c:v>13.756</c:v>
                </c:pt>
                <c:pt idx="7">
                  <c:v>13.969</c:v>
                </c:pt>
                <c:pt idx="8">
                  <c:v>14.161</c:v>
                </c:pt>
                <c:pt idx="9">
                  <c:v>14.332</c:v>
                </c:pt>
                <c:pt idx="10">
                  <c:v>14.486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Uniform_Read_Only!$G$5:$G$15</c:f>
              <c:numCache>
                <c:formatCode>General</c:formatCode>
                <c:ptCount val="11"/>
                <c:pt idx="0">
                  <c:v>4.011</c:v>
                </c:pt>
                <c:pt idx="1">
                  <c:v>14.231</c:v>
                </c:pt>
                <c:pt idx="2">
                  <c:v>15.195</c:v>
                </c:pt>
                <c:pt idx="3">
                  <c:v>15.779</c:v>
                </c:pt>
                <c:pt idx="4">
                  <c:v>16.202</c:v>
                </c:pt>
                <c:pt idx="5">
                  <c:v>16.522</c:v>
                </c:pt>
                <c:pt idx="6">
                  <c:v>16.8</c:v>
                </c:pt>
                <c:pt idx="7">
                  <c:v>17.032</c:v>
                </c:pt>
                <c:pt idx="8">
                  <c:v>17.239</c:v>
                </c:pt>
                <c:pt idx="9">
                  <c:v>17.429</c:v>
                </c:pt>
                <c:pt idx="10">
                  <c:v>17.6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Uniform_Read_Only!$H$5:$H$15</c:f>
              <c:numCache>
                <c:formatCode>General</c:formatCode>
                <c:ptCount val="11"/>
                <c:pt idx="0">
                  <c:v>2.864</c:v>
                </c:pt>
                <c:pt idx="1">
                  <c:v>12.769</c:v>
                </c:pt>
                <c:pt idx="2">
                  <c:v>13.722</c:v>
                </c:pt>
                <c:pt idx="3">
                  <c:v>14.302</c:v>
                </c:pt>
                <c:pt idx="4">
                  <c:v>14.72</c:v>
                </c:pt>
                <c:pt idx="5">
                  <c:v>15.035</c:v>
                </c:pt>
                <c:pt idx="6">
                  <c:v>15.299</c:v>
                </c:pt>
                <c:pt idx="7">
                  <c:v>15.531</c:v>
                </c:pt>
                <c:pt idx="8">
                  <c:v>15.739</c:v>
                </c:pt>
                <c:pt idx="9">
                  <c:v>15.925</c:v>
                </c:pt>
                <c:pt idx="10">
                  <c:v>16.091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Uniform_Read_Only!$I$5:$I$15</c:f>
              <c:numCache>
                <c:formatCode>General</c:formatCode>
                <c:ptCount val="11"/>
                <c:pt idx="0">
                  <c:v>3.082</c:v>
                </c:pt>
                <c:pt idx="1">
                  <c:v>12.863</c:v>
                </c:pt>
                <c:pt idx="2">
                  <c:v>13.774</c:v>
                </c:pt>
                <c:pt idx="3">
                  <c:v>14.328</c:v>
                </c:pt>
                <c:pt idx="4">
                  <c:v>14.724</c:v>
                </c:pt>
                <c:pt idx="5">
                  <c:v>15.029</c:v>
                </c:pt>
                <c:pt idx="6">
                  <c:v>15.286</c:v>
                </c:pt>
                <c:pt idx="7">
                  <c:v>15.507</c:v>
                </c:pt>
                <c:pt idx="8">
                  <c:v>15.705</c:v>
                </c:pt>
                <c:pt idx="9">
                  <c:v>15.88</c:v>
                </c:pt>
                <c:pt idx="10">
                  <c:v>16.037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Uniform_Read_Only!$J$5:$J$15</c:f>
              <c:numCache>
                <c:formatCode>General</c:formatCode>
                <c:ptCount val="11"/>
                <c:pt idx="0">
                  <c:v>2.447</c:v>
                </c:pt>
                <c:pt idx="1">
                  <c:v>11.484</c:v>
                </c:pt>
                <c:pt idx="2">
                  <c:v>12.426</c:v>
                </c:pt>
                <c:pt idx="3">
                  <c:v>12.973</c:v>
                </c:pt>
                <c:pt idx="4">
                  <c:v>13.368</c:v>
                </c:pt>
                <c:pt idx="5">
                  <c:v>13.674</c:v>
                </c:pt>
                <c:pt idx="6">
                  <c:v>13.923</c:v>
                </c:pt>
                <c:pt idx="7">
                  <c:v>14.138</c:v>
                </c:pt>
                <c:pt idx="8">
                  <c:v>14.329</c:v>
                </c:pt>
                <c:pt idx="9">
                  <c:v>14.5</c:v>
                </c:pt>
                <c:pt idx="10">
                  <c:v>14.657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Uniform_Read_Only!$K$4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Uniform_Read_Only!$K$5:$K$15</c:f>
              <c:numCache>
                <c:formatCode>General</c:formatCode>
                <c:ptCount val="11"/>
                <c:pt idx="0">
                  <c:v>2.26</c:v>
                </c:pt>
                <c:pt idx="1">
                  <c:v>18.822</c:v>
                </c:pt>
                <c:pt idx="2">
                  <c:v>20.43</c:v>
                </c:pt>
                <c:pt idx="3">
                  <c:v>21.36</c:v>
                </c:pt>
                <c:pt idx="4">
                  <c:v>22.035</c:v>
                </c:pt>
                <c:pt idx="5">
                  <c:v>22.544</c:v>
                </c:pt>
                <c:pt idx="6">
                  <c:v>22.985</c:v>
                </c:pt>
                <c:pt idx="7">
                  <c:v>23.354</c:v>
                </c:pt>
                <c:pt idx="8">
                  <c:v>23.676</c:v>
                </c:pt>
                <c:pt idx="9">
                  <c:v>23.964</c:v>
                </c:pt>
                <c:pt idx="10">
                  <c:v>24.222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Uniform_Read_Only!$P$4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Uniform_Read_Only!$P$5:$P$15</c:f>
              <c:numCache>
                <c:formatCode>General</c:formatCode>
                <c:ptCount val="11"/>
                <c:pt idx="0">
                  <c:v>2.524</c:v>
                </c:pt>
                <c:pt idx="1">
                  <c:v>13.205</c:v>
                </c:pt>
                <c:pt idx="2">
                  <c:v>14.125</c:v>
                </c:pt>
                <c:pt idx="3">
                  <c:v>14.632</c:v>
                </c:pt>
                <c:pt idx="4">
                  <c:v>15.02</c:v>
                </c:pt>
                <c:pt idx="5">
                  <c:v>15.311</c:v>
                </c:pt>
                <c:pt idx="6">
                  <c:v>15.557</c:v>
                </c:pt>
                <c:pt idx="7">
                  <c:v>15.766</c:v>
                </c:pt>
                <c:pt idx="8">
                  <c:v>15.941</c:v>
                </c:pt>
                <c:pt idx="9">
                  <c:v>16.106</c:v>
                </c:pt>
                <c:pt idx="10">
                  <c:v>16.256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Uniform_Read_Only!$Q$4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Uniform_Read_Only!$Q$5:$Q$15</c:f>
              <c:numCache>
                <c:formatCode>General</c:formatCode>
                <c:ptCount val="11"/>
                <c:pt idx="0">
                  <c:v>2.511</c:v>
                </c:pt>
                <c:pt idx="1">
                  <c:v>25.381</c:v>
                </c:pt>
                <c:pt idx="2">
                  <c:v>25.386</c:v>
                </c:pt>
                <c:pt idx="3">
                  <c:v>25.391</c:v>
                </c:pt>
                <c:pt idx="4">
                  <c:v>25.396</c:v>
                </c:pt>
                <c:pt idx="5">
                  <c:v>25.399</c:v>
                </c:pt>
                <c:pt idx="6">
                  <c:v>25.403</c:v>
                </c:pt>
                <c:pt idx="7">
                  <c:v>25.407</c:v>
                </c:pt>
                <c:pt idx="8">
                  <c:v>25.41</c:v>
                </c:pt>
                <c:pt idx="9">
                  <c:v>25.414</c:v>
                </c:pt>
                <c:pt idx="10">
                  <c:v>25.417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Uniform_Read_Only!$R$5:$R$15</c:f>
              <c:numCache>
                <c:formatCode>General</c:formatCode>
                <c:ptCount val="11"/>
                <c:pt idx="0">
                  <c:v>1.62106</c:v>
                </c:pt>
                <c:pt idx="1">
                  <c:v>10.864</c:v>
                </c:pt>
                <c:pt idx="2">
                  <c:v>10.8695</c:v>
                </c:pt>
                <c:pt idx="3">
                  <c:v>10.8743</c:v>
                </c:pt>
                <c:pt idx="4">
                  <c:v>10.8797</c:v>
                </c:pt>
                <c:pt idx="5">
                  <c:v>10.8825</c:v>
                </c:pt>
                <c:pt idx="6">
                  <c:v>10.8853</c:v>
                </c:pt>
                <c:pt idx="7">
                  <c:v>10.8878</c:v>
                </c:pt>
                <c:pt idx="8">
                  <c:v>10.8903</c:v>
                </c:pt>
                <c:pt idx="9">
                  <c:v>10.8928</c:v>
                </c:pt>
                <c:pt idx="10">
                  <c:v>10.8953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042512"/>
        <c:axId val="6808614"/>
      </c:lineChart>
      <c:catAx>
        <c:axId val="68042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2932866608326"/>
              <c:y val="0.88619693265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808614"/>
        <c:crossesAt val="0"/>
        <c:auto val="1"/>
        <c:lblAlgn val="ctr"/>
        <c:lblOffset val="100"/>
        <c:noMultiLvlLbl val="0"/>
      </c:catAx>
      <c:valAx>
        <c:axId val="6808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layout>
            <c:manualLayout>
              <c:xMode val="edge"/>
              <c:yMode val="edge"/>
              <c:x val="0"/>
              <c:y val="0.1334741053567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8042512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1368917937545"/>
          <c:y val="0.228495221160258"/>
          <c:w val="0.846163156620673"/>
          <c:h val="0.550455656812625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Uniform_Read_Only!$F$5:$F$15</c:f>
              <c:numCache>
                <c:formatCode>General</c:formatCode>
                <c:ptCount val="11"/>
                <c:pt idx="0">
                  <c:v>1.912</c:v>
                </c:pt>
                <c:pt idx="1">
                  <c:v>11.304</c:v>
                </c:pt>
                <c:pt idx="2">
                  <c:v>12.244</c:v>
                </c:pt>
                <c:pt idx="3">
                  <c:v>12.803</c:v>
                </c:pt>
                <c:pt idx="4">
                  <c:v>13.202</c:v>
                </c:pt>
                <c:pt idx="5">
                  <c:v>13.504</c:v>
                </c:pt>
                <c:pt idx="6">
                  <c:v>13.756</c:v>
                </c:pt>
                <c:pt idx="7">
                  <c:v>13.969</c:v>
                </c:pt>
                <c:pt idx="8">
                  <c:v>14.161</c:v>
                </c:pt>
                <c:pt idx="9">
                  <c:v>14.332</c:v>
                </c:pt>
                <c:pt idx="10">
                  <c:v>14.486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Uniform_Read_Only!$G$5:$G$15</c:f>
              <c:numCache>
                <c:formatCode>General</c:formatCode>
                <c:ptCount val="11"/>
                <c:pt idx="0">
                  <c:v>4.011</c:v>
                </c:pt>
                <c:pt idx="1">
                  <c:v>14.231</c:v>
                </c:pt>
                <c:pt idx="2">
                  <c:v>15.195</c:v>
                </c:pt>
                <c:pt idx="3">
                  <c:v>15.779</c:v>
                </c:pt>
                <c:pt idx="4">
                  <c:v>16.202</c:v>
                </c:pt>
                <c:pt idx="5">
                  <c:v>16.522</c:v>
                </c:pt>
                <c:pt idx="6">
                  <c:v>16.8</c:v>
                </c:pt>
                <c:pt idx="7">
                  <c:v>17.032</c:v>
                </c:pt>
                <c:pt idx="8">
                  <c:v>17.239</c:v>
                </c:pt>
                <c:pt idx="9">
                  <c:v>17.429</c:v>
                </c:pt>
                <c:pt idx="10">
                  <c:v>17.6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Uniform_Read_Only!$H$5:$H$15</c:f>
              <c:numCache>
                <c:formatCode>General</c:formatCode>
                <c:ptCount val="11"/>
                <c:pt idx="0">
                  <c:v>2.864</c:v>
                </c:pt>
                <c:pt idx="1">
                  <c:v>12.769</c:v>
                </c:pt>
                <c:pt idx="2">
                  <c:v>13.722</c:v>
                </c:pt>
                <c:pt idx="3">
                  <c:v>14.302</c:v>
                </c:pt>
                <c:pt idx="4">
                  <c:v>14.72</c:v>
                </c:pt>
                <c:pt idx="5">
                  <c:v>15.035</c:v>
                </c:pt>
                <c:pt idx="6">
                  <c:v>15.299</c:v>
                </c:pt>
                <c:pt idx="7">
                  <c:v>15.531</c:v>
                </c:pt>
                <c:pt idx="8">
                  <c:v>15.739</c:v>
                </c:pt>
                <c:pt idx="9">
                  <c:v>15.925</c:v>
                </c:pt>
                <c:pt idx="10">
                  <c:v>16.091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Uniform_Read_Only!$I$5:$I$15</c:f>
              <c:numCache>
                <c:formatCode>General</c:formatCode>
                <c:ptCount val="11"/>
                <c:pt idx="0">
                  <c:v>3.082</c:v>
                </c:pt>
                <c:pt idx="1">
                  <c:v>12.863</c:v>
                </c:pt>
                <c:pt idx="2">
                  <c:v>13.774</c:v>
                </c:pt>
                <c:pt idx="3">
                  <c:v>14.328</c:v>
                </c:pt>
                <c:pt idx="4">
                  <c:v>14.724</c:v>
                </c:pt>
                <c:pt idx="5">
                  <c:v>15.029</c:v>
                </c:pt>
                <c:pt idx="6">
                  <c:v>15.286</c:v>
                </c:pt>
                <c:pt idx="7">
                  <c:v>15.507</c:v>
                </c:pt>
                <c:pt idx="8">
                  <c:v>15.705</c:v>
                </c:pt>
                <c:pt idx="9">
                  <c:v>15.88</c:v>
                </c:pt>
                <c:pt idx="10">
                  <c:v>16.037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Uniform_Read_Only!$J$5:$J$15</c:f>
              <c:numCache>
                <c:formatCode>General</c:formatCode>
                <c:ptCount val="11"/>
                <c:pt idx="0">
                  <c:v>2.447</c:v>
                </c:pt>
                <c:pt idx="1">
                  <c:v>11.484</c:v>
                </c:pt>
                <c:pt idx="2">
                  <c:v>12.426</c:v>
                </c:pt>
                <c:pt idx="3">
                  <c:v>12.973</c:v>
                </c:pt>
                <c:pt idx="4">
                  <c:v>13.368</c:v>
                </c:pt>
                <c:pt idx="5">
                  <c:v>13.674</c:v>
                </c:pt>
                <c:pt idx="6">
                  <c:v>13.923</c:v>
                </c:pt>
                <c:pt idx="7">
                  <c:v>14.138</c:v>
                </c:pt>
                <c:pt idx="8">
                  <c:v>14.329</c:v>
                </c:pt>
                <c:pt idx="9">
                  <c:v>14.5</c:v>
                </c:pt>
                <c:pt idx="10">
                  <c:v>14.657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Uniform_Read_Only!$K$4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Uniform_Read_Only!$K$5:$K$15</c:f>
              <c:numCache>
                <c:formatCode>General</c:formatCode>
                <c:ptCount val="11"/>
                <c:pt idx="0">
                  <c:v>2.26</c:v>
                </c:pt>
                <c:pt idx="1">
                  <c:v>18.822</c:v>
                </c:pt>
                <c:pt idx="2">
                  <c:v>20.43</c:v>
                </c:pt>
                <c:pt idx="3">
                  <c:v>21.36</c:v>
                </c:pt>
                <c:pt idx="4">
                  <c:v>22.035</c:v>
                </c:pt>
                <c:pt idx="5">
                  <c:v>22.544</c:v>
                </c:pt>
                <c:pt idx="6">
                  <c:v>22.985</c:v>
                </c:pt>
                <c:pt idx="7">
                  <c:v>23.354</c:v>
                </c:pt>
                <c:pt idx="8">
                  <c:v>23.676</c:v>
                </c:pt>
                <c:pt idx="9">
                  <c:v>23.964</c:v>
                </c:pt>
                <c:pt idx="10">
                  <c:v>24.222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Uniform_Read_Only!$P$4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Uniform_Read_Only!$P$5:$P$15</c:f>
              <c:numCache>
                <c:formatCode>General</c:formatCode>
                <c:ptCount val="11"/>
                <c:pt idx="0">
                  <c:v>2.524</c:v>
                </c:pt>
                <c:pt idx="1">
                  <c:v>13.205</c:v>
                </c:pt>
                <c:pt idx="2">
                  <c:v>14.125</c:v>
                </c:pt>
                <c:pt idx="3">
                  <c:v>14.632</c:v>
                </c:pt>
                <c:pt idx="4">
                  <c:v>15.02</c:v>
                </c:pt>
                <c:pt idx="5">
                  <c:v>15.311</c:v>
                </c:pt>
                <c:pt idx="6">
                  <c:v>15.557</c:v>
                </c:pt>
                <c:pt idx="7">
                  <c:v>15.766</c:v>
                </c:pt>
                <c:pt idx="8">
                  <c:v>15.941</c:v>
                </c:pt>
                <c:pt idx="9">
                  <c:v>16.106</c:v>
                </c:pt>
                <c:pt idx="10">
                  <c:v>16.256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Uniform_Read_Only!$Q$4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Uniform_Read_Only!$Q$5:$Q$15</c:f>
              <c:numCache>
                <c:formatCode>General</c:formatCode>
                <c:ptCount val="11"/>
                <c:pt idx="0">
                  <c:v>2.511</c:v>
                </c:pt>
                <c:pt idx="1">
                  <c:v>25.381</c:v>
                </c:pt>
                <c:pt idx="2">
                  <c:v>25.386</c:v>
                </c:pt>
                <c:pt idx="3">
                  <c:v>25.391</c:v>
                </c:pt>
                <c:pt idx="4">
                  <c:v>25.396</c:v>
                </c:pt>
                <c:pt idx="5">
                  <c:v>25.399</c:v>
                </c:pt>
                <c:pt idx="6">
                  <c:v>25.403</c:v>
                </c:pt>
                <c:pt idx="7">
                  <c:v>25.407</c:v>
                </c:pt>
                <c:pt idx="8">
                  <c:v>25.41</c:v>
                </c:pt>
                <c:pt idx="9">
                  <c:v>25.414</c:v>
                </c:pt>
                <c:pt idx="10">
                  <c:v>25.417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Uniform_Read_Only!$R$5:$R$15</c:f>
              <c:numCache>
                <c:formatCode>General</c:formatCode>
                <c:ptCount val="11"/>
                <c:pt idx="0">
                  <c:v>1.62106</c:v>
                </c:pt>
                <c:pt idx="1">
                  <c:v>10.864</c:v>
                </c:pt>
                <c:pt idx="2">
                  <c:v>10.8695</c:v>
                </c:pt>
                <c:pt idx="3">
                  <c:v>10.8743</c:v>
                </c:pt>
                <c:pt idx="4">
                  <c:v>10.8797</c:v>
                </c:pt>
                <c:pt idx="5">
                  <c:v>10.8825</c:v>
                </c:pt>
                <c:pt idx="6">
                  <c:v>10.8853</c:v>
                </c:pt>
                <c:pt idx="7">
                  <c:v>10.8878</c:v>
                </c:pt>
                <c:pt idx="8">
                  <c:v>10.8903</c:v>
                </c:pt>
                <c:pt idx="9">
                  <c:v>10.8928</c:v>
                </c:pt>
                <c:pt idx="10">
                  <c:v>10.8953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Uniform_Read_Only!$S$4</c:f>
              <c:strCache>
                <c:ptCount val="1"/>
                <c:pt idx="0">
                  <c:v>FLAIRS_wofc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Uniform_Read_Only!$S$5:$S$15</c:f>
              <c:numCache>
                <c:formatCode>General</c:formatCode>
                <c:ptCount val="11"/>
                <c:pt idx="0">
                  <c:v>1.62106</c:v>
                </c:pt>
                <c:pt idx="1">
                  <c:v>1.62106</c:v>
                </c:pt>
                <c:pt idx="2">
                  <c:v>1.62106</c:v>
                </c:pt>
                <c:pt idx="3">
                  <c:v>1.62106</c:v>
                </c:pt>
                <c:pt idx="4">
                  <c:v>1.62106</c:v>
                </c:pt>
                <c:pt idx="5">
                  <c:v>1.62106</c:v>
                </c:pt>
                <c:pt idx="6">
                  <c:v>1.62106</c:v>
                </c:pt>
                <c:pt idx="7">
                  <c:v>1.62106</c:v>
                </c:pt>
                <c:pt idx="8">
                  <c:v>1.62106</c:v>
                </c:pt>
                <c:pt idx="9">
                  <c:v>1.62106</c:v>
                </c:pt>
                <c:pt idx="10">
                  <c:v>1.62106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915484"/>
        <c:axId val="8787846"/>
      </c:lineChart>
      <c:catAx>
        <c:axId val="599154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2931199562303"/>
              <c:y val="0.894865525672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787846"/>
        <c:crosses val="autoZero"/>
        <c:auto val="1"/>
        <c:lblAlgn val="ctr"/>
        <c:lblOffset val="100"/>
        <c:noMultiLvlLbl val="0"/>
      </c:catAx>
      <c:valAx>
        <c:axId val="8787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layout>
            <c:manualLayout>
              <c:xMode val="edge"/>
              <c:yMode val="edge"/>
              <c:x val="0.000109424155382301"/>
              <c:y val="0.27461658146254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991548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00660457239627434"/>
          <c:y val="0.0204512615316217"/>
          <c:w val="0.987214225232854"/>
          <c:h val="0.0983661220406802"/>
        </c:manualLayout>
      </c:layout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8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Uniform_Read_90_Ins_10!$E$4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Uniform_Read_90_Ins_10!$F$4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Uniform_Read_90_Ins_10!$F$5:$F$15</c:f>
              <c:numCache>
                <c:formatCode>General</c:formatCode>
                <c:ptCount val="11"/>
                <c:pt idx="0">
                  <c:v>1.951</c:v>
                </c:pt>
                <c:pt idx="1">
                  <c:v>10.952</c:v>
                </c:pt>
                <c:pt idx="2">
                  <c:v>11.92</c:v>
                </c:pt>
                <c:pt idx="3">
                  <c:v>12.526</c:v>
                </c:pt>
                <c:pt idx="4">
                  <c:v>13.004</c:v>
                </c:pt>
                <c:pt idx="5">
                  <c:v>13.425</c:v>
                </c:pt>
                <c:pt idx="6">
                  <c:v>13.835</c:v>
                </c:pt>
                <c:pt idx="7">
                  <c:v>14.272</c:v>
                </c:pt>
                <c:pt idx="8">
                  <c:v>14.733</c:v>
                </c:pt>
                <c:pt idx="9">
                  <c:v>15.181</c:v>
                </c:pt>
                <c:pt idx="10">
                  <c:v>15.691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Uniform_Read_90_Ins_10!$G$5:$G$15</c:f>
              <c:numCache>
                <c:formatCode>General</c:formatCode>
                <c:ptCount val="11"/>
                <c:pt idx="0">
                  <c:v>3.738</c:v>
                </c:pt>
                <c:pt idx="1">
                  <c:v>12.785</c:v>
                </c:pt>
                <c:pt idx="2">
                  <c:v>13.701</c:v>
                </c:pt>
                <c:pt idx="3">
                  <c:v>14.25</c:v>
                </c:pt>
                <c:pt idx="4">
                  <c:v>14.643</c:v>
                </c:pt>
                <c:pt idx="5">
                  <c:v>14.949</c:v>
                </c:pt>
                <c:pt idx="6">
                  <c:v>15.207</c:v>
                </c:pt>
                <c:pt idx="7">
                  <c:v>15.43</c:v>
                </c:pt>
                <c:pt idx="8">
                  <c:v>15.626</c:v>
                </c:pt>
                <c:pt idx="9">
                  <c:v>15.805</c:v>
                </c:pt>
                <c:pt idx="10">
                  <c:v>15.965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Uniform_Read_90_Ins_10!$H$5:$H$15</c:f>
              <c:numCache>
                <c:formatCode>General</c:formatCode>
                <c:ptCount val="11"/>
                <c:pt idx="0">
                  <c:v>2.751</c:v>
                </c:pt>
                <c:pt idx="1">
                  <c:v>11.569</c:v>
                </c:pt>
                <c:pt idx="2">
                  <c:v>12.55</c:v>
                </c:pt>
                <c:pt idx="3">
                  <c:v>13.195</c:v>
                </c:pt>
                <c:pt idx="4">
                  <c:v>13.741</c:v>
                </c:pt>
                <c:pt idx="5">
                  <c:v>14.329</c:v>
                </c:pt>
                <c:pt idx="6">
                  <c:v>14.908</c:v>
                </c:pt>
                <c:pt idx="7">
                  <c:v>15.56</c:v>
                </c:pt>
                <c:pt idx="8">
                  <c:v>16.389</c:v>
                </c:pt>
                <c:pt idx="9">
                  <c:v>17.189</c:v>
                </c:pt>
                <c:pt idx="10">
                  <c:v>18.154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Uniform_Read_90_Ins_10!$I$5:$I$15</c:f>
              <c:numCache>
                <c:formatCode>General</c:formatCode>
                <c:ptCount val="11"/>
                <c:pt idx="0">
                  <c:v>3.754</c:v>
                </c:pt>
                <c:pt idx="1">
                  <c:v>12.848</c:v>
                </c:pt>
                <c:pt idx="2">
                  <c:v>13.766</c:v>
                </c:pt>
                <c:pt idx="3">
                  <c:v>14.312</c:v>
                </c:pt>
                <c:pt idx="4">
                  <c:v>14.702</c:v>
                </c:pt>
                <c:pt idx="5">
                  <c:v>15.009</c:v>
                </c:pt>
                <c:pt idx="6">
                  <c:v>15.269</c:v>
                </c:pt>
                <c:pt idx="7">
                  <c:v>15.492</c:v>
                </c:pt>
                <c:pt idx="8">
                  <c:v>15.685</c:v>
                </c:pt>
                <c:pt idx="9">
                  <c:v>15.866</c:v>
                </c:pt>
                <c:pt idx="10">
                  <c:v>16.028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Uniform_Read_90_Ins_10!$J$5:$J$15</c:f>
              <c:numCache>
                <c:formatCode>General</c:formatCode>
                <c:ptCount val="11"/>
                <c:pt idx="0">
                  <c:v>2.741</c:v>
                </c:pt>
                <c:pt idx="1">
                  <c:v>11.587</c:v>
                </c:pt>
                <c:pt idx="2">
                  <c:v>12.562</c:v>
                </c:pt>
                <c:pt idx="3">
                  <c:v>13.207</c:v>
                </c:pt>
                <c:pt idx="4">
                  <c:v>13.748</c:v>
                </c:pt>
                <c:pt idx="5">
                  <c:v>14.315</c:v>
                </c:pt>
                <c:pt idx="6">
                  <c:v>14.889</c:v>
                </c:pt>
                <c:pt idx="7">
                  <c:v>15.54</c:v>
                </c:pt>
                <c:pt idx="8">
                  <c:v>16.304</c:v>
                </c:pt>
                <c:pt idx="9">
                  <c:v>17.086</c:v>
                </c:pt>
                <c:pt idx="10">
                  <c:v>18.028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Uniform_Read_90_Ins_10!$R$5:$R$15</c:f>
              <c:numCache>
                <c:formatCode>General</c:formatCode>
                <c:ptCount val="11"/>
                <c:pt idx="0">
                  <c:v>6.08422</c:v>
                </c:pt>
                <c:pt idx="1">
                  <c:v>10.3515</c:v>
                </c:pt>
                <c:pt idx="2">
                  <c:v>10.4539</c:v>
                </c:pt>
                <c:pt idx="3">
                  <c:v>10.5552</c:v>
                </c:pt>
                <c:pt idx="4">
                  <c:v>10.6628</c:v>
                </c:pt>
                <c:pt idx="5">
                  <c:v>10.7736</c:v>
                </c:pt>
                <c:pt idx="6">
                  <c:v>10.8916</c:v>
                </c:pt>
                <c:pt idx="7">
                  <c:v>11.0131</c:v>
                </c:pt>
                <c:pt idx="8">
                  <c:v>11.1353</c:v>
                </c:pt>
                <c:pt idx="9">
                  <c:v>11.2651</c:v>
                </c:pt>
                <c:pt idx="10">
                  <c:v>14.0494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073748"/>
        <c:axId val="1877923"/>
      </c:lineChart>
      <c:catAx>
        <c:axId val="27073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877923"/>
        <c:crosses val="autoZero"/>
        <c:auto val="1"/>
        <c:lblAlgn val="ctr"/>
        <c:lblOffset val="100"/>
        <c:noMultiLvlLbl val="0"/>
      </c:catAx>
      <c:valAx>
        <c:axId val="187792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0737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48185165702262"/>
          <c:y val="0.177383356360931"/>
          <c:w val="0.850078905839032"/>
          <c:h val="0.642576256775428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Uniform_Read_90_Ins_10!$F$5:$F$15</c:f>
              <c:numCache>
                <c:formatCode>General</c:formatCode>
                <c:ptCount val="11"/>
                <c:pt idx="0">
                  <c:v>1.951</c:v>
                </c:pt>
                <c:pt idx="1">
                  <c:v>10.952</c:v>
                </c:pt>
                <c:pt idx="2">
                  <c:v>11.92</c:v>
                </c:pt>
                <c:pt idx="3">
                  <c:v>12.526</c:v>
                </c:pt>
                <c:pt idx="4">
                  <c:v>13.004</c:v>
                </c:pt>
                <c:pt idx="5">
                  <c:v>13.425</c:v>
                </c:pt>
                <c:pt idx="6">
                  <c:v>13.835</c:v>
                </c:pt>
                <c:pt idx="7">
                  <c:v>14.272</c:v>
                </c:pt>
                <c:pt idx="8">
                  <c:v>14.733</c:v>
                </c:pt>
                <c:pt idx="9">
                  <c:v>15.181</c:v>
                </c:pt>
                <c:pt idx="10">
                  <c:v>15.691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Uniform_Read_90_Ins_10!$G$5:$G$15</c:f>
              <c:numCache>
                <c:formatCode>General</c:formatCode>
                <c:ptCount val="11"/>
                <c:pt idx="0">
                  <c:v>3.738</c:v>
                </c:pt>
                <c:pt idx="1">
                  <c:v>12.785</c:v>
                </c:pt>
                <c:pt idx="2">
                  <c:v>13.701</c:v>
                </c:pt>
                <c:pt idx="3">
                  <c:v>14.25</c:v>
                </c:pt>
                <c:pt idx="4">
                  <c:v>14.643</c:v>
                </c:pt>
                <c:pt idx="5">
                  <c:v>14.949</c:v>
                </c:pt>
                <c:pt idx="6">
                  <c:v>15.207</c:v>
                </c:pt>
                <c:pt idx="7">
                  <c:v>15.43</c:v>
                </c:pt>
                <c:pt idx="8">
                  <c:v>15.626</c:v>
                </c:pt>
                <c:pt idx="9">
                  <c:v>15.805</c:v>
                </c:pt>
                <c:pt idx="10">
                  <c:v>15.965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Uniform_Read_90_Ins_10!$H$5:$H$15</c:f>
              <c:numCache>
                <c:formatCode>General</c:formatCode>
                <c:ptCount val="11"/>
                <c:pt idx="0">
                  <c:v>2.751</c:v>
                </c:pt>
                <c:pt idx="1">
                  <c:v>11.569</c:v>
                </c:pt>
                <c:pt idx="2">
                  <c:v>12.55</c:v>
                </c:pt>
                <c:pt idx="3">
                  <c:v>13.195</c:v>
                </c:pt>
                <c:pt idx="4">
                  <c:v>13.741</c:v>
                </c:pt>
                <c:pt idx="5">
                  <c:v>14.329</c:v>
                </c:pt>
                <c:pt idx="6">
                  <c:v>14.908</c:v>
                </c:pt>
                <c:pt idx="7">
                  <c:v>15.56</c:v>
                </c:pt>
                <c:pt idx="8">
                  <c:v>16.389</c:v>
                </c:pt>
                <c:pt idx="9">
                  <c:v>17.189</c:v>
                </c:pt>
                <c:pt idx="10">
                  <c:v>18.154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Uniform_Read_90_Ins_10!$I$5:$I$15</c:f>
              <c:numCache>
                <c:formatCode>General</c:formatCode>
                <c:ptCount val="11"/>
                <c:pt idx="0">
                  <c:v>3.754</c:v>
                </c:pt>
                <c:pt idx="1">
                  <c:v>12.848</c:v>
                </c:pt>
                <c:pt idx="2">
                  <c:v>13.766</c:v>
                </c:pt>
                <c:pt idx="3">
                  <c:v>14.312</c:v>
                </c:pt>
                <c:pt idx="4">
                  <c:v>14.702</c:v>
                </c:pt>
                <c:pt idx="5">
                  <c:v>15.009</c:v>
                </c:pt>
                <c:pt idx="6">
                  <c:v>15.269</c:v>
                </c:pt>
                <c:pt idx="7">
                  <c:v>15.492</c:v>
                </c:pt>
                <c:pt idx="8">
                  <c:v>15.685</c:v>
                </c:pt>
                <c:pt idx="9">
                  <c:v>15.866</c:v>
                </c:pt>
                <c:pt idx="10">
                  <c:v>16.028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Uniform_Read_90_Ins_10!$J$5:$J$15</c:f>
              <c:numCache>
                <c:formatCode>General</c:formatCode>
                <c:ptCount val="11"/>
                <c:pt idx="0">
                  <c:v>2.741</c:v>
                </c:pt>
                <c:pt idx="1">
                  <c:v>11.587</c:v>
                </c:pt>
                <c:pt idx="2">
                  <c:v>12.562</c:v>
                </c:pt>
                <c:pt idx="3">
                  <c:v>13.207</c:v>
                </c:pt>
                <c:pt idx="4">
                  <c:v>13.748</c:v>
                </c:pt>
                <c:pt idx="5">
                  <c:v>14.315</c:v>
                </c:pt>
                <c:pt idx="6">
                  <c:v>14.889</c:v>
                </c:pt>
                <c:pt idx="7">
                  <c:v>15.54</c:v>
                </c:pt>
                <c:pt idx="8">
                  <c:v>16.304</c:v>
                </c:pt>
                <c:pt idx="9">
                  <c:v>17.086</c:v>
                </c:pt>
                <c:pt idx="10">
                  <c:v>18.028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Uniform_Read_90_Ins_10!$R$5:$R$15</c:f>
              <c:numCache>
                <c:formatCode>General</c:formatCode>
                <c:ptCount val="11"/>
                <c:pt idx="0">
                  <c:v>6.08422</c:v>
                </c:pt>
                <c:pt idx="1">
                  <c:v>10.3515</c:v>
                </c:pt>
                <c:pt idx="2">
                  <c:v>10.4539</c:v>
                </c:pt>
                <c:pt idx="3">
                  <c:v>10.5552</c:v>
                </c:pt>
                <c:pt idx="4">
                  <c:v>10.6628</c:v>
                </c:pt>
                <c:pt idx="5">
                  <c:v>10.7736</c:v>
                </c:pt>
                <c:pt idx="6">
                  <c:v>10.8916</c:v>
                </c:pt>
                <c:pt idx="7">
                  <c:v>11.0131</c:v>
                </c:pt>
                <c:pt idx="8">
                  <c:v>11.1353</c:v>
                </c:pt>
                <c:pt idx="9">
                  <c:v>11.2651</c:v>
                </c:pt>
                <c:pt idx="10">
                  <c:v>14.0494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933787"/>
        <c:axId val="13815958"/>
      </c:lineChart>
      <c:catAx>
        <c:axId val="43933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4750131509732"/>
              <c:y val="0.9006270591986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3815958"/>
        <c:crosses val="autoZero"/>
        <c:auto val="1"/>
        <c:lblAlgn val="ctr"/>
        <c:lblOffset val="100"/>
        <c:noMultiLvlLbl val="0"/>
      </c:catAx>
      <c:valAx>
        <c:axId val="1381595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84674248060367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3933787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516799263593925"/>
          <c:y val="0.0200850159404888"/>
          <c:w val="0.932667017359285"/>
          <c:h val="0.13295780635561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83705402306603"/>
          <c:y val="0.129091278715186"/>
          <c:w val="0.90072165643758"/>
          <c:h val="0.758385850782679"/>
        </c:manualLayout>
      </c:layout>
      <c:scatterChart>
        <c:scatterStyle val="lineMarker"/>
        <c:varyColors val="0"/>
        <c:ser>
          <c:idx val="0"/>
          <c:order val="0"/>
          <c:tx>
            <c:strRef>
              <c:f>Uniform_Read_90_Ins_10!$H$45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Uniform_Read_90_Ins_10!$G$46:$G$59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Uniform_Read_90_Ins_10!$H$46:$H$59</c:f>
              <c:numCache>
                <c:formatCode>General</c:formatCode>
                <c:ptCount val="14"/>
                <c:pt idx="0">
                  <c:v>129</c:v>
                </c:pt>
                <c:pt idx="1">
                  <c:v>178</c:v>
                </c:pt>
                <c:pt idx="2">
                  <c:v>147</c:v>
                </c:pt>
                <c:pt idx="3">
                  <c:v>250</c:v>
                </c:pt>
                <c:pt idx="4">
                  <c:v>753</c:v>
                </c:pt>
                <c:pt idx="5">
                  <c:v>301</c:v>
                </c:pt>
                <c:pt idx="6">
                  <c:v>703</c:v>
                </c:pt>
                <c:pt idx="7">
                  <c:v>18</c:v>
                </c:pt>
                <c:pt idx="8">
                  <c:v>334</c:v>
                </c:pt>
                <c:pt idx="9">
                  <c:v>392</c:v>
                </c:pt>
                <c:pt idx="10">
                  <c:v>65</c:v>
                </c:pt>
                <c:pt idx="11">
                  <c:v>132</c:v>
                </c:pt>
                <c:pt idx="12">
                  <c:v>736</c:v>
                </c:pt>
                <c:pt idx="13">
                  <c:v>208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Uniform_Read_90_Ins_10!$I$45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Uniform_Read_90_Ins_10!$G$46:$G$59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Uniform_Read_90_Ins_10!$I$46:$I$59</c:f>
              <c:numCache>
                <c:formatCode>General</c:formatCode>
                <c:ptCount val="14"/>
                <c:pt idx="0">
                  <c:v>581</c:v>
                </c:pt>
                <c:pt idx="1">
                  <c:v>650</c:v>
                </c:pt>
                <c:pt idx="2">
                  <c:v>479</c:v>
                </c:pt>
                <c:pt idx="3">
                  <c:v>477</c:v>
                </c:pt>
                <c:pt idx="4">
                  <c:v>898</c:v>
                </c:pt>
                <c:pt idx="5">
                  <c:v>777</c:v>
                </c:pt>
                <c:pt idx="6">
                  <c:v>810</c:v>
                </c:pt>
                <c:pt idx="7">
                  <c:v>405</c:v>
                </c:pt>
                <c:pt idx="8">
                  <c:v>139</c:v>
                </c:pt>
                <c:pt idx="9">
                  <c:v>434</c:v>
                </c:pt>
                <c:pt idx="10">
                  <c:v>707</c:v>
                </c:pt>
                <c:pt idx="11">
                  <c:v>661</c:v>
                </c:pt>
                <c:pt idx="12">
                  <c:v>794</c:v>
                </c:pt>
                <c:pt idx="13">
                  <c:v>441</c:v>
                </c:pt>
              </c:numCache>
            </c:numRef>
          </c:yVal>
          <c:smooth val="0"/>
        </c:ser>
        <c:axId val="59123070"/>
        <c:axId val="75181767"/>
      </c:scatterChart>
      <c:valAx>
        <c:axId val="59123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40932083361435"/>
              <c:y val="0.8845293758894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5181767"/>
        <c:crosses val="autoZero"/>
        <c:crossBetween val="midCat"/>
      </c:valAx>
      <c:valAx>
        <c:axId val="751817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3754828217117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91230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86687348260049"/>
          <c:y val="0.0205305417217197"/>
          <c:w val="0.448775881837189"/>
          <c:h val="0.087924374872941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Uniform_Read_90_Ins_10!$F$4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Uniform_Read_90_Ins_10!$F$5:$F$15</c:f>
              <c:numCache>
                <c:formatCode>General</c:formatCode>
                <c:ptCount val="11"/>
                <c:pt idx="0">
                  <c:v>1.951</c:v>
                </c:pt>
                <c:pt idx="1">
                  <c:v>10.952</c:v>
                </c:pt>
                <c:pt idx="2">
                  <c:v>11.92</c:v>
                </c:pt>
                <c:pt idx="3">
                  <c:v>12.526</c:v>
                </c:pt>
                <c:pt idx="4">
                  <c:v>13.004</c:v>
                </c:pt>
                <c:pt idx="5">
                  <c:v>13.425</c:v>
                </c:pt>
                <c:pt idx="6">
                  <c:v>13.835</c:v>
                </c:pt>
                <c:pt idx="7">
                  <c:v>14.272</c:v>
                </c:pt>
                <c:pt idx="8">
                  <c:v>14.733</c:v>
                </c:pt>
                <c:pt idx="9">
                  <c:v>15.181</c:v>
                </c:pt>
                <c:pt idx="10">
                  <c:v>15.691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Uniform_Read_90_Ins_10!$G$5:$G$15</c:f>
              <c:numCache>
                <c:formatCode>General</c:formatCode>
                <c:ptCount val="11"/>
                <c:pt idx="0">
                  <c:v>3.738</c:v>
                </c:pt>
                <c:pt idx="1">
                  <c:v>12.785</c:v>
                </c:pt>
                <c:pt idx="2">
                  <c:v>13.701</c:v>
                </c:pt>
                <c:pt idx="3">
                  <c:v>14.25</c:v>
                </c:pt>
                <c:pt idx="4">
                  <c:v>14.643</c:v>
                </c:pt>
                <c:pt idx="5">
                  <c:v>14.949</c:v>
                </c:pt>
                <c:pt idx="6">
                  <c:v>15.207</c:v>
                </c:pt>
                <c:pt idx="7">
                  <c:v>15.43</c:v>
                </c:pt>
                <c:pt idx="8">
                  <c:v>15.626</c:v>
                </c:pt>
                <c:pt idx="9">
                  <c:v>15.805</c:v>
                </c:pt>
                <c:pt idx="10">
                  <c:v>15.965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Uniform_Read_90_Ins_10!$H$5:$H$15</c:f>
              <c:numCache>
                <c:formatCode>General</c:formatCode>
                <c:ptCount val="11"/>
                <c:pt idx="0">
                  <c:v>2.751</c:v>
                </c:pt>
                <c:pt idx="1">
                  <c:v>11.569</c:v>
                </c:pt>
                <c:pt idx="2">
                  <c:v>12.55</c:v>
                </c:pt>
                <c:pt idx="3">
                  <c:v>13.195</c:v>
                </c:pt>
                <c:pt idx="4">
                  <c:v>13.741</c:v>
                </c:pt>
                <c:pt idx="5">
                  <c:v>14.329</c:v>
                </c:pt>
                <c:pt idx="6">
                  <c:v>14.908</c:v>
                </c:pt>
                <c:pt idx="7">
                  <c:v>15.56</c:v>
                </c:pt>
                <c:pt idx="8">
                  <c:v>16.389</c:v>
                </c:pt>
                <c:pt idx="9">
                  <c:v>17.189</c:v>
                </c:pt>
                <c:pt idx="10">
                  <c:v>18.154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Uniform_Read_90_Ins_10!$I$5:$I$15</c:f>
              <c:numCache>
                <c:formatCode>General</c:formatCode>
                <c:ptCount val="11"/>
                <c:pt idx="0">
                  <c:v>3.754</c:v>
                </c:pt>
                <c:pt idx="1">
                  <c:v>12.848</c:v>
                </c:pt>
                <c:pt idx="2">
                  <c:v>13.766</c:v>
                </c:pt>
                <c:pt idx="3">
                  <c:v>14.312</c:v>
                </c:pt>
                <c:pt idx="4">
                  <c:v>14.702</c:v>
                </c:pt>
                <c:pt idx="5">
                  <c:v>15.009</c:v>
                </c:pt>
                <c:pt idx="6">
                  <c:v>15.269</c:v>
                </c:pt>
                <c:pt idx="7">
                  <c:v>15.492</c:v>
                </c:pt>
                <c:pt idx="8">
                  <c:v>15.685</c:v>
                </c:pt>
                <c:pt idx="9">
                  <c:v>15.866</c:v>
                </c:pt>
                <c:pt idx="10">
                  <c:v>16.028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Uniform_Read_90_Ins_10!$J$5:$J$15</c:f>
              <c:numCache>
                <c:formatCode>General</c:formatCode>
                <c:ptCount val="11"/>
                <c:pt idx="0">
                  <c:v>2.741</c:v>
                </c:pt>
                <c:pt idx="1">
                  <c:v>11.587</c:v>
                </c:pt>
                <c:pt idx="2">
                  <c:v>12.562</c:v>
                </c:pt>
                <c:pt idx="3">
                  <c:v>13.207</c:v>
                </c:pt>
                <c:pt idx="4">
                  <c:v>13.748</c:v>
                </c:pt>
                <c:pt idx="5">
                  <c:v>14.315</c:v>
                </c:pt>
                <c:pt idx="6">
                  <c:v>14.889</c:v>
                </c:pt>
                <c:pt idx="7">
                  <c:v>15.54</c:v>
                </c:pt>
                <c:pt idx="8">
                  <c:v>16.304</c:v>
                </c:pt>
                <c:pt idx="9">
                  <c:v>17.086</c:v>
                </c:pt>
                <c:pt idx="10">
                  <c:v>18.028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Uniform_Read_90_Ins_10!$K$4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Uniform_Read_90_Ins_10!$K$5:$K$15</c:f>
              <c:numCache>
                <c:formatCode>General</c:formatCode>
                <c:ptCount val="11"/>
                <c:pt idx="0">
                  <c:v>2.099</c:v>
                </c:pt>
                <c:pt idx="1">
                  <c:v>18.331</c:v>
                </c:pt>
                <c:pt idx="2">
                  <c:v>19.978</c:v>
                </c:pt>
                <c:pt idx="3">
                  <c:v>20.98</c:v>
                </c:pt>
                <c:pt idx="4">
                  <c:v>21.743</c:v>
                </c:pt>
                <c:pt idx="5">
                  <c:v>22.409</c:v>
                </c:pt>
                <c:pt idx="6">
                  <c:v>23.021</c:v>
                </c:pt>
                <c:pt idx="7">
                  <c:v>23.612</c:v>
                </c:pt>
                <c:pt idx="8">
                  <c:v>24.217</c:v>
                </c:pt>
                <c:pt idx="9">
                  <c:v>24.784</c:v>
                </c:pt>
                <c:pt idx="10">
                  <c:v>25.403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Uniform_Read_90_Ins_10!$P$4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Uniform_Read_90_Ins_10!$P$5:$P$15</c:f>
              <c:numCache>
                <c:formatCode>General</c:formatCode>
                <c:ptCount val="11"/>
                <c:pt idx="0">
                  <c:v>3.414</c:v>
                </c:pt>
                <c:pt idx="1">
                  <c:v>13.174</c:v>
                </c:pt>
                <c:pt idx="2">
                  <c:v>14.097</c:v>
                </c:pt>
                <c:pt idx="3">
                  <c:v>14.689</c:v>
                </c:pt>
                <c:pt idx="4">
                  <c:v>15.101</c:v>
                </c:pt>
                <c:pt idx="5">
                  <c:v>15.447</c:v>
                </c:pt>
                <c:pt idx="6">
                  <c:v>15.757</c:v>
                </c:pt>
                <c:pt idx="7">
                  <c:v>16.074</c:v>
                </c:pt>
                <c:pt idx="8">
                  <c:v>16.396</c:v>
                </c:pt>
                <c:pt idx="9">
                  <c:v>16.693</c:v>
                </c:pt>
                <c:pt idx="10">
                  <c:v>17.007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Uniform_Read_90_Ins_10!$Q$4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Uniform_Read_90_Ins_10!$Q$5:$Q$15</c:f>
              <c:numCache>
                <c:formatCode>General</c:formatCode>
                <c:ptCount val="11"/>
                <c:pt idx="0">
                  <c:v>3.443</c:v>
                </c:pt>
                <c:pt idx="1">
                  <c:v>24.922</c:v>
                </c:pt>
                <c:pt idx="2">
                  <c:v>24.931</c:v>
                </c:pt>
                <c:pt idx="3">
                  <c:v>24.937</c:v>
                </c:pt>
                <c:pt idx="4">
                  <c:v>24.942</c:v>
                </c:pt>
                <c:pt idx="5">
                  <c:v>24.952</c:v>
                </c:pt>
                <c:pt idx="6">
                  <c:v>24.956</c:v>
                </c:pt>
                <c:pt idx="7">
                  <c:v>24.961</c:v>
                </c:pt>
                <c:pt idx="8">
                  <c:v>24.967</c:v>
                </c:pt>
                <c:pt idx="9">
                  <c:v>24.971</c:v>
                </c:pt>
                <c:pt idx="10">
                  <c:v>24.976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Uniform_Read_90_Ins_10!$R$5:$R$15</c:f>
              <c:numCache>
                <c:formatCode>General</c:formatCode>
                <c:ptCount val="11"/>
                <c:pt idx="0">
                  <c:v>6.08422</c:v>
                </c:pt>
                <c:pt idx="1">
                  <c:v>10.3515</c:v>
                </c:pt>
                <c:pt idx="2">
                  <c:v>10.4539</c:v>
                </c:pt>
                <c:pt idx="3">
                  <c:v>10.5552</c:v>
                </c:pt>
                <c:pt idx="4">
                  <c:v>10.6628</c:v>
                </c:pt>
                <c:pt idx="5">
                  <c:v>10.7736</c:v>
                </c:pt>
                <c:pt idx="6">
                  <c:v>10.8916</c:v>
                </c:pt>
                <c:pt idx="7">
                  <c:v>11.0131</c:v>
                </c:pt>
                <c:pt idx="8">
                  <c:v>11.1353</c:v>
                </c:pt>
                <c:pt idx="9">
                  <c:v>11.2651</c:v>
                </c:pt>
                <c:pt idx="10">
                  <c:v>14.0494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574133"/>
        <c:axId val="41039703"/>
      </c:lineChart>
      <c:catAx>
        <c:axId val="715741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1039703"/>
        <c:crosses val="autoZero"/>
        <c:auto val="1"/>
        <c:lblAlgn val="ctr"/>
        <c:lblOffset val="100"/>
        <c:noMultiLvlLbl val="0"/>
      </c:catAx>
      <c:valAx>
        <c:axId val="410397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15741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Uniform_Read_90_Ins_10!$F$4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Uniform_Read_90_Ins_10!$F$5:$F$15</c:f>
              <c:numCache>
                <c:formatCode>General</c:formatCode>
                <c:ptCount val="11"/>
                <c:pt idx="0">
                  <c:v>1.951</c:v>
                </c:pt>
                <c:pt idx="1">
                  <c:v>10.952</c:v>
                </c:pt>
                <c:pt idx="2">
                  <c:v>11.92</c:v>
                </c:pt>
                <c:pt idx="3">
                  <c:v>12.526</c:v>
                </c:pt>
                <c:pt idx="4">
                  <c:v>13.004</c:v>
                </c:pt>
                <c:pt idx="5">
                  <c:v>13.425</c:v>
                </c:pt>
                <c:pt idx="6">
                  <c:v>13.835</c:v>
                </c:pt>
                <c:pt idx="7">
                  <c:v>14.272</c:v>
                </c:pt>
                <c:pt idx="8">
                  <c:v>14.733</c:v>
                </c:pt>
                <c:pt idx="9">
                  <c:v>15.181</c:v>
                </c:pt>
                <c:pt idx="10">
                  <c:v>15.691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Uniform_Read_90_Ins_10!$G$5:$G$15</c:f>
              <c:numCache>
                <c:formatCode>General</c:formatCode>
                <c:ptCount val="11"/>
                <c:pt idx="0">
                  <c:v>3.738</c:v>
                </c:pt>
                <c:pt idx="1">
                  <c:v>12.785</c:v>
                </c:pt>
                <c:pt idx="2">
                  <c:v>13.701</c:v>
                </c:pt>
                <c:pt idx="3">
                  <c:v>14.25</c:v>
                </c:pt>
                <c:pt idx="4">
                  <c:v>14.643</c:v>
                </c:pt>
                <c:pt idx="5">
                  <c:v>14.949</c:v>
                </c:pt>
                <c:pt idx="6">
                  <c:v>15.207</c:v>
                </c:pt>
                <c:pt idx="7">
                  <c:v>15.43</c:v>
                </c:pt>
                <c:pt idx="8">
                  <c:v>15.626</c:v>
                </c:pt>
                <c:pt idx="9">
                  <c:v>15.805</c:v>
                </c:pt>
                <c:pt idx="10">
                  <c:v>15.965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Uniform_Read_90_Ins_10!$H$5:$H$15</c:f>
              <c:numCache>
                <c:formatCode>General</c:formatCode>
                <c:ptCount val="11"/>
                <c:pt idx="0">
                  <c:v>2.751</c:v>
                </c:pt>
                <c:pt idx="1">
                  <c:v>11.569</c:v>
                </c:pt>
                <c:pt idx="2">
                  <c:v>12.55</c:v>
                </c:pt>
                <c:pt idx="3">
                  <c:v>13.195</c:v>
                </c:pt>
                <c:pt idx="4">
                  <c:v>13.741</c:v>
                </c:pt>
                <c:pt idx="5">
                  <c:v>14.329</c:v>
                </c:pt>
                <c:pt idx="6">
                  <c:v>14.908</c:v>
                </c:pt>
                <c:pt idx="7">
                  <c:v>15.56</c:v>
                </c:pt>
                <c:pt idx="8">
                  <c:v>16.389</c:v>
                </c:pt>
                <c:pt idx="9">
                  <c:v>17.189</c:v>
                </c:pt>
                <c:pt idx="10">
                  <c:v>18.154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Uniform_Read_90_Ins_10!$I$5:$I$15</c:f>
              <c:numCache>
                <c:formatCode>General</c:formatCode>
                <c:ptCount val="11"/>
                <c:pt idx="0">
                  <c:v>3.754</c:v>
                </c:pt>
                <c:pt idx="1">
                  <c:v>12.848</c:v>
                </c:pt>
                <c:pt idx="2">
                  <c:v>13.766</c:v>
                </c:pt>
                <c:pt idx="3">
                  <c:v>14.312</c:v>
                </c:pt>
                <c:pt idx="4">
                  <c:v>14.702</c:v>
                </c:pt>
                <c:pt idx="5">
                  <c:v>15.009</c:v>
                </c:pt>
                <c:pt idx="6">
                  <c:v>15.269</c:v>
                </c:pt>
                <c:pt idx="7">
                  <c:v>15.492</c:v>
                </c:pt>
                <c:pt idx="8">
                  <c:v>15.685</c:v>
                </c:pt>
                <c:pt idx="9">
                  <c:v>15.866</c:v>
                </c:pt>
                <c:pt idx="10">
                  <c:v>16.028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Uniform_Read_90_Ins_10!$J$5:$J$15</c:f>
              <c:numCache>
                <c:formatCode>General</c:formatCode>
                <c:ptCount val="11"/>
                <c:pt idx="0">
                  <c:v>2.741</c:v>
                </c:pt>
                <c:pt idx="1">
                  <c:v>11.587</c:v>
                </c:pt>
                <c:pt idx="2">
                  <c:v>12.562</c:v>
                </c:pt>
                <c:pt idx="3">
                  <c:v>13.207</c:v>
                </c:pt>
                <c:pt idx="4">
                  <c:v>13.748</c:v>
                </c:pt>
                <c:pt idx="5">
                  <c:v>14.315</c:v>
                </c:pt>
                <c:pt idx="6">
                  <c:v>14.889</c:v>
                </c:pt>
                <c:pt idx="7">
                  <c:v>15.54</c:v>
                </c:pt>
                <c:pt idx="8">
                  <c:v>16.304</c:v>
                </c:pt>
                <c:pt idx="9">
                  <c:v>17.086</c:v>
                </c:pt>
                <c:pt idx="10">
                  <c:v>18.028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Uniform_Read_90_Ins_10!$K$4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Uniform_Read_90_Ins_10!$K$5:$K$15</c:f>
              <c:numCache>
                <c:formatCode>General</c:formatCode>
                <c:ptCount val="11"/>
                <c:pt idx="0">
                  <c:v>2.099</c:v>
                </c:pt>
                <c:pt idx="1">
                  <c:v>18.331</c:v>
                </c:pt>
                <c:pt idx="2">
                  <c:v>19.978</c:v>
                </c:pt>
                <c:pt idx="3">
                  <c:v>20.98</c:v>
                </c:pt>
                <c:pt idx="4">
                  <c:v>21.743</c:v>
                </c:pt>
                <c:pt idx="5">
                  <c:v>22.409</c:v>
                </c:pt>
                <c:pt idx="6">
                  <c:v>23.021</c:v>
                </c:pt>
                <c:pt idx="7">
                  <c:v>23.612</c:v>
                </c:pt>
                <c:pt idx="8">
                  <c:v>24.217</c:v>
                </c:pt>
                <c:pt idx="9">
                  <c:v>24.784</c:v>
                </c:pt>
                <c:pt idx="10">
                  <c:v>25.403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Uniform_Read_90_Ins_10!$P$4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Uniform_Read_90_Ins_10!$P$5:$P$15</c:f>
              <c:numCache>
                <c:formatCode>General</c:formatCode>
                <c:ptCount val="11"/>
                <c:pt idx="0">
                  <c:v>3.414</c:v>
                </c:pt>
                <c:pt idx="1">
                  <c:v>13.174</c:v>
                </c:pt>
                <c:pt idx="2">
                  <c:v>14.097</c:v>
                </c:pt>
                <c:pt idx="3">
                  <c:v>14.689</c:v>
                </c:pt>
                <c:pt idx="4">
                  <c:v>15.101</c:v>
                </c:pt>
                <c:pt idx="5">
                  <c:v>15.447</c:v>
                </c:pt>
                <c:pt idx="6">
                  <c:v>15.757</c:v>
                </c:pt>
                <c:pt idx="7">
                  <c:v>16.074</c:v>
                </c:pt>
                <c:pt idx="8">
                  <c:v>16.396</c:v>
                </c:pt>
                <c:pt idx="9">
                  <c:v>16.693</c:v>
                </c:pt>
                <c:pt idx="10">
                  <c:v>17.007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Uniform_Read_90_Ins_10!$Q$4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Uniform_Read_90_Ins_10!$Q$5:$Q$15</c:f>
              <c:numCache>
                <c:formatCode>General</c:formatCode>
                <c:ptCount val="11"/>
                <c:pt idx="0">
                  <c:v>3.443</c:v>
                </c:pt>
                <c:pt idx="1">
                  <c:v>24.922</c:v>
                </c:pt>
                <c:pt idx="2">
                  <c:v>24.931</c:v>
                </c:pt>
                <c:pt idx="3">
                  <c:v>24.937</c:v>
                </c:pt>
                <c:pt idx="4">
                  <c:v>24.942</c:v>
                </c:pt>
                <c:pt idx="5">
                  <c:v>24.952</c:v>
                </c:pt>
                <c:pt idx="6">
                  <c:v>24.956</c:v>
                </c:pt>
                <c:pt idx="7">
                  <c:v>24.961</c:v>
                </c:pt>
                <c:pt idx="8">
                  <c:v>24.967</c:v>
                </c:pt>
                <c:pt idx="9">
                  <c:v>24.971</c:v>
                </c:pt>
                <c:pt idx="10">
                  <c:v>24.976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Uniform_Read_90_Ins_10!$R$5:$R$15</c:f>
              <c:numCache>
                <c:formatCode>General</c:formatCode>
                <c:ptCount val="11"/>
                <c:pt idx="0">
                  <c:v>6.08422</c:v>
                </c:pt>
                <c:pt idx="1">
                  <c:v>10.3515</c:v>
                </c:pt>
                <c:pt idx="2">
                  <c:v>10.4539</c:v>
                </c:pt>
                <c:pt idx="3">
                  <c:v>10.5552</c:v>
                </c:pt>
                <c:pt idx="4">
                  <c:v>10.6628</c:v>
                </c:pt>
                <c:pt idx="5">
                  <c:v>10.7736</c:v>
                </c:pt>
                <c:pt idx="6">
                  <c:v>10.8916</c:v>
                </c:pt>
                <c:pt idx="7">
                  <c:v>11.0131</c:v>
                </c:pt>
                <c:pt idx="8">
                  <c:v>11.1353</c:v>
                </c:pt>
                <c:pt idx="9">
                  <c:v>11.2651</c:v>
                </c:pt>
                <c:pt idx="10">
                  <c:v>14.0494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18187"/>
        <c:axId val="23519925"/>
      </c:lineChart>
      <c:catAx>
        <c:axId val="80018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3519925"/>
        <c:crossesAt val="0"/>
        <c:auto val="1"/>
        <c:lblAlgn val="ctr"/>
        <c:lblOffset val="100"/>
        <c:noMultiLvlLbl val="0"/>
      </c:catAx>
      <c:valAx>
        <c:axId val="235199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layout>
            <c:manualLayout>
              <c:xMode val="edge"/>
              <c:yMode val="edge"/>
              <c:x val="0.00937617202150269"/>
              <c:y val="0.1010224494332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001818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Uniform_Read_80_Ins_20!$E$4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Uniform_Read_80_Ins_20!$F$4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Uniform_Read_80_Ins_20!$F$5:$F$15</c:f>
              <c:numCache>
                <c:formatCode>General</c:formatCode>
                <c:ptCount val="11"/>
                <c:pt idx="0">
                  <c:v>1.304</c:v>
                </c:pt>
                <c:pt idx="1">
                  <c:v>10.999</c:v>
                </c:pt>
                <c:pt idx="2">
                  <c:v>11.959</c:v>
                </c:pt>
                <c:pt idx="3">
                  <c:v>12.641</c:v>
                </c:pt>
                <c:pt idx="4">
                  <c:v>13.212</c:v>
                </c:pt>
                <c:pt idx="5">
                  <c:v>13.724</c:v>
                </c:pt>
                <c:pt idx="6">
                  <c:v>14.237</c:v>
                </c:pt>
                <c:pt idx="7">
                  <c:v>14.796</c:v>
                </c:pt>
                <c:pt idx="8">
                  <c:v>15.399</c:v>
                </c:pt>
                <c:pt idx="9">
                  <c:v>16.061</c:v>
                </c:pt>
                <c:pt idx="10">
                  <c:v>16.786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Uniform_Read_80_Ins_20!$G$5:$G$15</c:f>
              <c:numCache>
                <c:formatCode>General</c:formatCode>
                <c:ptCount val="11"/>
                <c:pt idx="0">
                  <c:v>5.333</c:v>
                </c:pt>
                <c:pt idx="1">
                  <c:v>14.467</c:v>
                </c:pt>
                <c:pt idx="2">
                  <c:v>15.381</c:v>
                </c:pt>
                <c:pt idx="3">
                  <c:v>15.975</c:v>
                </c:pt>
                <c:pt idx="4">
                  <c:v>16.406</c:v>
                </c:pt>
                <c:pt idx="5">
                  <c:v>16.736</c:v>
                </c:pt>
                <c:pt idx="6">
                  <c:v>17.004</c:v>
                </c:pt>
                <c:pt idx="7">
                  <c:v>17.241</c:v>
                </c:pt>
                <c:pt idx="8">
                  <c:v>17.454</c:v>
                </c:pt>
                <c:pt idx="9">
                  <c:v>17.648</c:v>
                </c:pt>
                <c:pt idx="10">
                  <c:v>17.821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Uniform_Read_80_Ins_20!$H$5:$H$15</c:f>
              <c:numCache>
                <c:formatCode>General</c:formatCode>
                <c:ptCount val="11"/>
                <c:pt idx="0">
                  <c:v>3.059</c:v>
                </c:pt>
                <c:pt idx="1">
                  <c:v>12.812</c:v>
                </c:pt>
                <c:pt idx="2">
                  <c:v>14.101</c:v>
                </c:pt>
                <c:pt idx="3">
                  <c:v>15.25</c:v>
                </c:pt>
                <c:pt idx="4">
                  <c:v>16.478</c:v>
                </c:pt>
                <c:pt idx="5">
                  <c:v>17.866</c:v>
                </c:pt>
                <c:pt idx="6">
                  <c:v>19.628</c:v>
                </c:pt>
                <c:pt idx="7">
                  <c:v>21.907</c:v>
                </c:pt>
                <c:pt idx="8">
                  <c:v>24.274</c:v>
                </c:pt>
                <c:pt idx="9">
                  <c:v>27.017</c:v>
                </c:pt>
                <c:pt idx="10">
                  <c:v>30.039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Uniform_Read_80_Ins_20!$I$5:$I$15</c:f>
              <c:numCache>
                <c:formatCode>General</c:formatCode>
                <c:ptCount val="11"/>
                <c:pt idx="0">
                  <c:v>3.775</c:v>
                </c:pt>
                <c:pt idx="1">
                  <c:v>13.046</c:v>
                </c:pt>
                <c:pt idx="2">
                  <c:v>13.949</c:v>
                </c:pt>
                <c:pt idx="3">
                  <c:v>14.516</c:v>
                </c:pt>
                <c:pt idx="4">
                  <c:v>14.926</c:v>
                </c:pt>
                <c:pt idx="5">
                  <c:v>15.241</c:v>
                </c:pt>
                <c:pt idx="6">
                  <c:v>15.49</c:v>
                </c:pt>
                <c:pt idx="7">
                  <c:v>15.719</c:v>
                </c:pt>
                <c:pt idx="8">
                  <c:v>15.913</c:v>
                </c:pt>
                <c:pt idx="9">
                  <c:v>16.091</c:v>
                </c:pt>
                <c:pt idx="10">
                  <c:v>16.253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Uniform_Read_80_Ins_20!$J$5:$J$15</c:f>
              <c:numCache>
                <c:formatCode>General</c:formatCode>
                <c:ptCount val="11"/>
                <c:pt idx="0">
                  <c:v>2.56</c:v>
                </c:pt>
                <c:pt idx="1">
                  <c:v>11.58</c:v>
                </c:pt>
                <c:pt idx="2">
                  <c:v>12.561</c:v>
                </c:pt>
                <c:pt idx="3">
                  <c:v>13.29</c:v>
                </c:pt>
                <c:pt idx="4">
                  <c:v>13.863</c:v>
                </c:pt>
                <c:pt idx="5">
                  <c:v>14.447</c:v>
                </c:pt>
                <c:pt idx="6">
                  <c:v>15.09</c:v>
                </c:pt>
                <c:pt idx="7">
                  <c:v>15.856</c:v>
                </c:pt>
                <c:pt idx="8">
                  <c:v>16.665</c:v>
                </c:pt>
                <c:pt idx="9">
                  <c:v>17.599</c:v>
                </c:pt>
                <c:pt idx="10">
                  <c:v>18.665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Uniform_Read_80_Ins_20!$R$5:$R$15</c:f>
              <c:numCache>
                <c:formatCode>General</c:formatCode>
                <c:ptCount val="11"/>
                <c:pt idx="0">
                  <c:v>10.2966</c:v>
                </c:pt>
                <c:pt idx="1">
                  <c:v>10.3664</c:v>
                </c:pt>
                <c:pt idx="2">
                  <c:v>10.45</c:v>
                </c:pt>
                <c:pt idx="3">
                  <c:v>10.5378</c:v>
                </c:pt>
                <c:pt idx="4">
                  <c:v>10.6448</c:v>
                </c:pt>
                <c:pt idx="5">
                  <c:v>10.7653</c:v>
                </c:pt>
                <c:pt idx="6">
                  <c:v>14.1651</c:v>
                </c:pt>
                <c:pt idx="7">
                  <c:v>14.2402</c:v>
                </c:pt>
                <c:pt idx="8">
                  <c:v>14.3162</c:v>
                </c:pt>
                <c:pt idx="9">
                  <c:v>14.4035</c:v>
                </c:pt>
                <c:pt idx="10">
                  <c:v>14.7606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374957"/>
        <c:axId val="55966508"/>
      </c:lineChart>
      <c:catAx>
        <c:axId val="70374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5966508"/>
        <c:crosses val="autoZero"/>
        <c:auto val="1"/>
        <c:lblAlgn val="ctr"/>
        <c:lblOffset val="100"/>
        <c:noMultiLvlLbl val="0"/>
      </c:catAx>
      <c:valAx>
        <c:axId val="5596650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03749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2830717075687"/>
          <c:y val="0.153408480944713"/>
          <c:w val="0.837349841550593"/>
          <c:h val="0.671926999463231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Uniform_Read_80_Ins_20!$F$5:$F$15</c:f>
              <c:numCache>
                <c:formatCode>General</c:formatCode>
                <c:ptCount val="11"/>
                <c:pt idx="0">
                  <c:v>1.304</c:v>
                </c:pt>
                <c:pt idx="1">
                  <c:v>10.999</c:v>
                </c:pt>
                <c:pt idx="2">
                  <c:v>11.959</c:v>
                </c:pt>
                <c:pt idx="3">
                  <c:v>12.641</c:v>
                </c:pt>
                <c:pt idx="4">
                  <c:v>13.212</c:v>
                </c:pt>
                <c:pt idx="5">
                  <c:v>13.724</c:v>
                </c:pt>
                <c:pt idx="6">
                  <c:v>14.237</c:v>
                </c:pt>
                <c:pt idx="7">
                  <c:v>14.796</c:v>
                </c:pt>
                <c:pt idx="8">
                  <c:v>15.399</c:v>
                </c:pt>
                <c:pt idx="9">
                  <c:v>16.061</c:v>
                </c:pt>
                <c:pt idx="10">
                  <c:v>16.786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Uniform_Read_80_Ins_20!$G$5:$G$15</c:f>
              <c:numCache>
                <c:formatCode>General</c:formatCode>
                <c:ptCount val="11"/>
                <c:pt idx="0">
                  <c:v>5.333</c:v>
                </c:pt>
                <c:pt idx="1">
                  <c:v>14.467</c:v>
                </c:pt>
                <c:pt idx="2">
                  <c:v>15.381</c:v>
                </c:pt>
                <c:pt idx="3">
                  <c:v>15.975</c:v>
                </c:pt>
                <c:pt idx="4">
                  <c:v>16.406</c:v>
                </c:pt>
                <c:pt idx="5">
                  <c:v>16.736</c:v>
                </c:pt>
                <c:pt idx="6">
                  <c:v>17.004</c:v>
                </c:pt>
                <c:pt idx="7">
                  <c:v>17.241</c:v>
                </c:pt>
                <c:pt idx="8">
                  <c:v>17.454</c:v>
                </c:pt>
                <c:pt idx="9">
                  <c:v>17.648</c:v>
                </c:pt>
                <c:pt idx="10">
                  <c:v>17.821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Uniform_Read_80_Ins_20!$H$5:$H$15</c:f>
              <c:numCache>
                <c:formatCode>General</c:formatCode>
                <c:ptCount val="11"/>
                <c:pt idx="0">
                  <c:v>3.059</c:v>
                </c:pt>
                <c:pt idx="1">
                  <c:v>12.812</c:v>
                </c:pt>
                <c:pt idx="2">
                  <c:v>14.101</c:v>
                </c:pt>
                <c:pt idx="3">
                  <c:v>15.25</c:v>
                </c:pt>
                <c:pt idx="4">
                  <c:v>16.478</c:v>
                </c:pt>
                <c:pt idx="5">
                  <c:v>17.866</c:v>
                </c:pt>
                <c:pt idx="6">
                  <c:v>19.628</c:v>
                </c:pt>
                <c:pt idx="7">
                  <c:v>21.907</c:v>
                </c:pt>
                <c:pt idx="8">
                  <c:v>24.274</c:v>
                </c:pt>
                <c:pt idx="9">
                  <c:v>27.017</c:v>
                </c:pt>
                <c:pt idx="10">
                  <c:v>30.039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Uniform_Read_80_Ins_20!$I$5:$I$15</c:f>
              <c:numCache>
                <c:formatCode>General</c:formatCode>
                <c:ptCount val="11"/>
                <c:pt idx="0">
                  <c:v>3.775</c:v>
                </c:pt>
                <c:pt idx="1">
                  <c:v>13.046</c:v>
                </c:pt>
                <c:pt idx="2">
                  <c:v>13.949</c:v>
                </c:pt>
                <c:pt idx="3">
                  <c:v>14.516</c:v>
                </c:pt>
                <c:pt idx="4">
                  <c:v>14.926</c:v>
                </c:pt>
                <c:pt idx="5">
                  <c:v>15.241</c:v>
                </c:pt>
                <c:pt idx="6">
                  <c:v>15.49</c:v>
                </c:pt>
                <c:pt idx="7">
                  <c:v>15.719</c:v>
                </c:pt>
                <c:pt idx="8">
                  <c:v>15.913</c:v>
                </c:pt>
                <c:pt idx="9">
                  <c:v>16.091</c:v>
                </c:pt>
                <c:pt idx="10">
                  <c:v>16.253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Uniform_Read_80_Ins_20!$J$5:$J$15</c:f>
              <c:numCache>
                <c:formatCode>General</c:formatCode>
                <c:ptCount val="11"/>
                <c:pt idx="0">
                  <c:v>2.56</c:v>
                </c:pt>
                <c:pt idx="1">
                  <c:v>11.58</c:v>
                </c:pt>
                <c:pt idx="2">
                  <c:v>12.561</c:v>
                </c:pt>
                <c:pt idx="3">
                  <c:v>13.29</c:v>
                </c:pt>
                <c:pt idx="4">
                  <c:v>13.863</c:v>
                </c:pt>
                <c:pt idx="5">
                  <c:v>14.447</c:v>
                </c:pt>
                <c:pt idx="6">
                  <c:v>15.09</c:v>
                </c:pt>
                <c:pt idx="7">
                  <c:v>15.856</c:v>
                </c:pt>
                <c:pt idx="8">
                  <c:v>16.665</c:v>
                </c:pt>
                <c:pt idx="9">
                  <c:v>17.599</c:v>
                </c:pt>
                <c:pt idx="10">
                  <c:v>18.665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Uniform_Read_80_Ins_20!$R$5:$R$15</c:f>
              <c:numCache>
                <c:formatCode>General</c:formatCode>
                <c:ptCount val="11"/>
                <c:pt idx="0">
                  <c:v>10.2966</c:v>
                </c:pt>
                <c:pt idx="1">
                  <c:v>10.3664</c:v>
                </c:pt>
                <c:pt idx="2">
                  <c:v>10.45</c:v>
                </c:pt>
                <c:pt idx="3">
                  <c:v>10.5378</c:v>
                </c:pt>
                <c:pt idx="4">
                  <c:v>10.6448</c:v>
                </c:pt>
                <c:pt idx="5">
                  <c:v>10.7653</c:v>
                </c:pt>
                <c:pt idx="6">
                  <c:v>14.1651</c:v>
                </c:pt>
                <c:pt idx="7">
                  <c:v>14.2402</c:v>
                </c:pt>
                <c:pt idx="8">
                  <c:v>14.3162</c:v>
                </c:pt>
                <c:pt idx="9">
                  <c:v>14.4035</c:v>
                </c:pt>
                <c:pt idx="10">
                  <c:v>14.7606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325306"/>
        <c:axId val="31700689"/>
      </c:lineChart>
      <c:catAx>
        <c:axId val="40325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6504532390007"/>
              <c:y val="0.9194847020933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1700689"/>
        <c:crosses val="autoZero"/>
        <c:auto val="1"/>
        <c:lblAlgn val="ctr"/>
        <c:lblOffset val="100"/>
        <c:noMultiLvlLbl val="0"/>
      </c:catAx>
      <c:valAx>
        <c:axId val="31700689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0.00361117252560985"/>
              <c:y val="0.85636070853462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0325306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"/>
          <c:y val="0.020502361528553"/>
          <c:w val="1"/>
          <c:h val="0.0647342995169082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24618179371594"/>
          <c:y val="0.128786338686725"/>
          <c:w val="0.88313261118213"/>
          <c:h val="0.738666395608864"/>
        </c:manualLayout>
      </c:layout>
      <c:scatterChart>
        <c:scatterStyle val="lineMarker"/>
        <c:varyColors val="0"/>
        <c:ser>
          <c:idx val="0"/>
          <c:order val="0"/>
          <c:tx>
            <c:strRef>
              <c:f>Uniform_Read_80_Ins_20!$J$44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Uniform_Read_80_Ins_20!$I$45:$I$59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Uniform_Read_80_Ins_20!$J$45:$J$59</c:f>
              <c:numCache>
                <c:formatCode>General</c:formatCode>
                <c:ptCount val="15"/>
                <c:pt idx="0">
                  <c:v>262</c:v>
                </c:pt>
                <c:pt idx="1">
                  <c:v>30</c:v>
                </c:pt>
                <c:pt idx="2">
                  <c:v>752</c:v>
                </c:pt>
                <c:pt idx="3">
                  <c:v>70</c:v>
                </c:pt>
                <c:pt idx="4">
                  <c:v>470</c:v>
                </c:pt>
                <c:pt idx="5">
                  <c:v>110</c:v>
                </c:pt>
                <c:pt idx="6">
                  <c:v>447</c:v>
                </c:pt>
                <c:pt idx="7">
                  <c:v>150</c:v>
                </c:pt>
                <c:pt idx="8">
                  <c:v>378</c:v>
                </c:pt>
                <c:pt idx="9">
                  <c:v>190</c:v>
                </c:pt>
                <c:pt idx="10">
                  <c:v>513</c:v>
                </c:pt>
                <c:pt idx="11">
                  <c:v>230</c:v>
                </c:pt>
                <c:pt idx="12">
                  <c:v>483</c:v>
                </c:pt>
                <c:pt idx="13">
                  <c:v>270</c:v>
                </c:pt>
                <c:pt idx="14">
                  <c:v>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Uniform_Read_80_Ins_20!$K$44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Uniform_Read_80_Ins_20!$I$45:$I$59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Uniform_Read_80_Ins_20!$K$45:$K$59</c:f>
              <c:numCache>
                <c:formatCode>General</c:formatCode>
                <c:ptCount val="15"/>
                <c:pt idx="0">
                  <c:v>989</c:v>
                </c:pt>
                <c:pt idx="1">
                  <c:v>284</c:v>
                </c:pt>
                <c:pt idx="2">
                  <c:v>949</c:v>
                </c:pt>
                <c:pt idx="3">
                  <c:v>336</c:v>
                </c:pt>
                <c:pt idx="4">
                  <c:v>909</c:v>
                </c:pt>
                <c:pt idx="5">
                  <c:v>475</c:v>
                </c:pt>
                <c:pt idx="6">
                  <c:v>869</c:v>
                </c:pt>
                <c:pt idx="7">
                  <c:v>556</c:v>
                </c:pt>
                <c:pt idx="8">
                  <c:v>829</c:v>
                </c:pt>
                <c:pt idx="9">
                  <c:v>471</c:v>
                </c:pt>
                <c:pt idx="10">
                  <c:v>789</c:v>
                </c:pt>
                <c:pt idx="11">
                  <c:v>449</c:v>
                </c:pt>
                <c:pt idx="12">
                  <c:v>749</c:v>
                </c:pt>
                <c:pt idx="13">
                  <c:v>996</c:v>
                </c:pt>
                <c:pt idx="14">
                  <c:v>709</c:v>
                </c:pt>
              </c:numCache>
            </c:numRef>
          </c:yVal>
          <c:smooth val="0"/>
        </c:ser>
        <c:axId val="23696753"/>
        <c:axId val="70666391"/>
      </c:scatterChart>
      <c:valAx>
        <c:axId val="23696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3629819013658"/>
              <c:y val="0.8753811750355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0666391"/>
        <c:crosses val="autoZero"/>
        <c:crossBetween val="midCat"/>
      </c:valAx>
      <c:valAx>
        <c:axId val="706663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1010367960967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36967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25888051668461"/>
          <c:y val="0.0204289053765627"/>
          <c:w val="0.348045482069569"/>
          <c:h val="0.086602968082943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7832229028629"/>
          <c:y val="0.177706156923761"/>
          <c:w val="0.794661832729091"/>
          <c:h val="0.560569015336742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Uniform_Read_80_Ins_20!$F$5:$F$15</c:f>
              <c:numCache>
                <c:formatCode>General</c:formatCode>
                <c:ptCount val="11"/>
                <c:pt idx="0">
                  <c:v>1.304</c:v>
                </c:pt>
                <c:pt idx="1">
                  <c:v>10.999</c:v>
                </c:pt>
                <c:pt idx="2">
                  <c:v>11.959</c:v>
                </c:pt>
                <c:pt idx="3">
                  <c:v>12.641</c:v>
                </c:pt>
                <c:pt idx="4">
                  <c:v>13.212</c:v>
                </c:pt>
                <c:pt idx="5">
                  <c:v>13.724</c:v>
                </c:pt>
                <c:pt idx="6">
                  <c:v>14.237</c:v>
                </c:pt>
                <c:pt idx="7">
                  <c:v>14.796</c:v>
                </c:pt>
                <c:pt idx="8">
                  <c:v>15.399</c:v>
                </c:pt>
                <c:pt idx="9">
                  <c:v>16.061</c:v>
                </c:pt>
                <c:pt idx="10">
                  <c:v>16.786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Uniform_Read_80_Ins_20!$G$5:$G$15</c:f>
              <c:numCache>
                <c:formatCode>General</c:formatCode>
                <c:ptCount val="11"/>
                <c:pt idx="0">
                  <c:v>5.333</c:v>
                </c:pt>
                <c:pt idx="1">
                  <c:v>14.467</c:v>
                </c:pt>
                <c:pt idx="2">
                  <c:v>15.381</c:v>
                </c:pt>
                <c:pt idx="3">
                  <c:v>15.975</c:v>
                </c:pt>
                <c:pt idx="4">
                  <c:v>16.406</c:v>
                </c:pt>
                <c:pt idx="5">
                  <c:v>16.736</c:v>
                </c:pt>
                <c:pt idx="6">
                  <c:v>17.004</c:v>
                </c:pt>
                <c:pt idx="7">
                  <c:v>17.241</c:v>
                </c:pt>
                <c:pt idx="8">
                  <c:v>17.454</c:v>
                </c:pt>
                <c:pt idx="9">
                  <c:v>17.648</c:v>
                </c:pt>
                <c:pt idx="10">
                  <c:v>17.821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Uniform_Read_80_Ins_20!$H$5:$H$15</c:f>
              <c:numCache>
                <c:formatCode>General</c:formatCode>
                <c:ptCount val="11"/>
                <c:pt idx="0">
                  <c:v>3.059</c:v>
                </c:pt>
                <c:pt idx="1">
                  <c:v>12.812</c:v>
                </c:pt>
                <c:pt idx="2">
                  <c:v>14.101</c:v>
                </c:pt>
                <c:pt idx="3">
                  <c:v>15.25</c:v>
                </c:pt>
                <c:pt idx="4">
                  <c:v>16.478</c:v>
                </c:pt>
                <c:pt idx="5">
                  <c:v>17.866</c:v>
                </c:pt>
                <c:pt idx="6">
                  <c:v>19.628</c:v>
                </c:pt>
                <c:pt idx="7">
                  <c:v>21.907</c:v>
                </c:pt>
                <c:pt idx="8">
                  <c:v>24.274</c:v>
                </c:pt>
                <c:pt idx="9">
                  <c:v>27.017</c:v>
                </c:pt>
                <c:pt idx="10">
                  <c:v>30.039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Uniform_Read_80_Ins_20!$I$5:$I$15</c:f>
              <c:numCache>
                <c:formatCode>General</c:formatCode>
                <c:ptCount val="11"/>
                <c:pt idx="0">
                  <c:v>3.775</c:v>
                </c:pt>
                <c:pt idx="1">
                  <c:v>13.046</c:v>
                </c:pt>
                <c:pt idx="2">
                  <c:v>13.949</c:v>
                </c:pt>
                <c:pt idx="3">
                  <c:v>14.516</c:v>
                </c:pt>
                <c:pt idx="4">
                  <c:v>14.926</c:v>
                </c:pt>
                <c:pt idx="5">
                  <c:v>15.241</c:v>
                </c:pt>
                <c:pt idx="6">
                  <c:v>15.49</c:v>
                </c:pt>
                <c:pt idx="7">
                  <c:v>15.719</c:v>
                </c:pt>
                <c:pt idx="8">
                  <c:v>15.913</c:v>
                </c:pt>
                <c:pt idx="9">
                  <c:v>16.091</c:v>
                </c:pt>
                <c:pt idx="10">
                  <c:v>16.253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Uniform_Read_80_Ins_20!$J$5:$J$15</c:f>
              <c:numCache>
                <c:formatCode>General</c:formatCode>
                <c:ptCount val="11"/>
                <c:pt idx="0">
                  <c:v>2.56</c:v>
                </c:pt>
                <c:pt idx="1">
                  <c:v>11.58</c:v>
                </c:pt>
                <c:pt idx="2">
                  <c:v>12.561</c:v>
                </c:pt>
                <c:pt idx="3">
                  <c:v>13.29</c:v>
                </c:pt>
                <c:pt idx="4">
                  <c:v>13.863</c:v>
                </c:pt>
                <c:pt idx="5">
                  <c:v>14.447</c:v>
                </c:pt>
                <c:pt idx="6">
                  <c:v>15.09</c:v>
                </c:pt>
                <c:pt idx="7">
                  <c:v>15.856</c:v>
                </c:pt>
                <c:pt idx="8">
                  <c:v>16.665</c:v>
                </c:pt>
                <c:pt idx="9">
                  <c:v>17.599</c:v>
                </c:pt>
                <c:pt idx="10">
                  <c:v>18.665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Uniform_Read_80_Ins_20!$K$4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Uniform_Read_80_Ins_20!$K$5:$K$15</c:f>
              <c:numCache>
                <c:formatCode>General</c:formatCode>
                <c:ptCount val="11"/>
                <c:pt idx="0">
                  <c:v>2.182</c:v>
                </c:pt>
                <c:pt idx="1">
                  <c:v>20.296</c:v>
                </c:pt>
                <c:pt idx="2">
                  <c:v>21.995</c:v>
                </c:pt>
                <c:pt idx="3">
                  <c:v>23.138</c:v>
                </c:pt>
                <c:pt idx="4">
                  <c:v>23.98</c:v>
                </c:pt>
                <c:pt idx="5">
                  <c:v>24.628</c:v>
                </c:pt>
                <c:pt idx="6">
                  <c:v>25.283</c:v>
                </c:pt>
                <c:pt idx="7">
                  <c:v>26.008</c:v>
                </c:pt>
                <c:pt idx="8">
                  <c:v>26.813</c:v>
                </c:pt>
                <c:pt idx="9">
                  <c:v>27.569</c:v>
                </c:pt>
                <c:pt idx="10">
                  <c:v>28.256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Uniform_Read_80_Ins_20!$P$4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Uniform_Read_80_Ins_20!$P$5:$P$15</c:f>
              <c:numCache>
                <c:formatCode>General</c:formatCode>
                <c:ptCount val="11"/>
                <c:pt idx="0">
                  <c:v>3.623</c:v>
                </c:pt>
                <c:pt idx="1">
                  <c:v>13.775</c:v>
                </c:pt>
                <c:pt idx="2">
                  <c:v>14.715</c:v>
                </c:pt>
                <c:pt idx="3">
                  <c:v>15.34</c:v>
                </c:pt>
                <c:pt idx="4">
                  <c:v>15.871</c:v>
                </c:pt>
                <c:pt idx="5">
                  <c:v>16.347</c:v>
                </c:pt>
                <c:pt idx="6">
                  <c:v>16.887</c:v>
                </c:pt>
                <c:pt idx="7">
                  <c:v>17.506</c:v>
                </c:pt>
                <c:pt idx="8">
                  <c:v>18.116</c:v>
                </c:pt>
                <c:pt idx="9">
                  <c:v>18.837</c:v>
                </c:pt>
                <c:pt idx="10">
                  <c:v>19.689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Uniform_Read_80_Ins_20!$Q$4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Uniform_Read_80_Ins_20!$Q$5:$Q$15</c:f>
              <c:numCache>
                <c:formatCode>General</c:formatCode>
                <c:ptCount val="11"/>
                <c:pt idx="0">
                  <c:v>3.857</c:v>
                </c:pt>
                <c:pt idx="1">
                  <c:v>26.702</c:v>
                </c:pt>
                <c:pt idx="2">
                  <c:v>26.709</c:v>
                </c:pt>
                <c:pt idx="3">
                  <c:v>26.718</c:v>
                </c:pt>
                <c:pt idx="4">
                  <c:v>26.725</c:v>
                </c:pt>
                <c:pt idx="5">
                  <c:v>26.731</c:v>
                </c:pt>
                <c:pt idx="6">
                  <c:v>26.736</c:v>
                </c:pt>
                <c:pt idx="7">
                  <c:v>26.741</c:v>
                </c:pt>
                <c:pt idx="8">
                  <c:v>26.746</c:v>
                </c:pt>
                <c:pt idx="9">
                  <c:v>26.751</c:v>
                </c:pt>
                <c:pt idx="10">
                  <c:v>26.757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Uniform_Read_80_Ins_20!$R$5:$R$15</c:f>
              <c:numCache>
                <c:formatCode>General</c:formatCode>
                <c:ptCount val="11"/>
                <c:pt idx="0">
                  <c:v>10.2966</c:v>
                </c:pt>
                <c:pt idx="1">
                  <c:v>10.3664</c:v>
                </c:pt>
                <c:pt idx="2">
                  <c:v>10.45</c:v>
                </c:pt>
                <c:pt idx="3">
                  <c:v>10.5378</c:v>
                </c:pt>
                <c:pt idx="4">
                  <c:v>10.6448</c:v>
                </c:pt>
                <c:pt idx="5">
                  <c:v>10.7653</c:v>
                </c:pt>
                <c:pt idx="6">
                  <c:v>14.1651</c:v>
                </c:pt>
                <c:pt idx="7">
                  <c:v>14.2402</c:v>
                </c:pt>
                <c:pt idx="8">
                  <c:v>14.3162</c:v>
                </c:pt>
                <c:pt idx="9">
                  <c:v>14.4035</c:v>
                </c:pt>
                <c:pt idx="10">
                  <c:v>14.7606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808706"/>
        <c:axId val="98188356"/>
      </c:lineChart>
      <c:catAx>
        <c:axId val="88808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8188356"/>
        <c:crosses val="autoZero"/>
        <c:auto val="1"/>
        <c:lblAlgn val="ctr"/>
        <c:lblOffset val="100"/>
        <c:noMultiLvlLbl val="0"/>
      </c:catAx>
      <c:valAx>
        <c:axId val="981883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88087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0733170823176449"/>
          <c:y val="0"/>
          <c:w val="0.894174271783973"/>
          <c:h val="0.15692376083574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1331416427053"/>
          <c:y val="0.0334518781951545"/>
          <c:w val="0.848543567945993"/>
          <c:h val="0.598132918426317"/>
        </c:manualLayout>
      </c:layout>
      <c:lineChart>
        <c:grouping val="standard"/>
        <c:varyColors val="0"/>
        <c:ser>
          <c:idx val="0"/>
          <c:order val="0"/>
          <c:tx>
            <c:strRef>
              <c:f>Uniform_Read_80_Ins_20!$F$4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Uniform_Read_80_Ins_20!$F$5:$F$15</c:f>
              <c:numCache>
                <c:formatCode>General</c:formatCode>
                <c:ptCount val="11"/>
                <c:pt idx="0">
                  <c:v>1.304</c:v>
                </c:pt>
                <c:pt idx="1">
                  <c:v>10.999</c:v>
                </c:pt>
                <c:pt idx="2">
                  <c:v>11.959</c:v>
                </c:pt>
                <c:pt idx="3">
                  <c:v>12.641</c:v>
                </c:pt>
                <c:pt idx="4">
                  <c:v>13.212</c:v>
                </c:pt>
                <c:pt idx="5">
                  <c:v>13.724</c:v>
                </c:pt>
                <c:pt idx="6">
                  <c:v>14.237</c:v>
                </c:pt>
                <c:pt idx="7">
                  <c:v>14.796</c:v>
                </c:pt>
                <c:pt idx="8">
                  <c:v>15.399</c:v>
                </c:pt>
                <c:pt idx="9">
                  <c:v>16.061</c:v>
                </c:pt>
                <c:pt idx="10">
                  <c:v>16.786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Uniform_Read_80_Ins_20!$G$4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Uniform_Read_80_Ins_20!$G$5:$G$15</c:f>
              <c:numCache>
                <c:formatCode>General</c:formatCode>
                <c:ptCount val="11"/>
                <c:pt idx="0">
                  <c:v>5.333</c:v>
                </c:pt>
                <c:pt idx="1">
                  <c:v>14.467</c:v>
                </c:pt>
                <c:pt idx="2">
                  <c:v>15.381</c:v>
                </c:pt>
                <c:pt idx="3">
                  <c:v>15.975</c:v>
                </c:pt>
                <c:pt idx="4">
                  <c:v>16.406</c:v>
                </c:pt>
                <c:pt idx="5">
                  <c:v>16.736</c:v>
                </c:pt>
                <c:pt idx="6">
                  <c:v>17.004</c:v>
                </c:pt>
                <c:pt idx="7">
                  <c:v>17.241</c:v>
                </c:pt>
                <c:pt idx="8">
                  <c:v>17.454</c:v>
                </c:pt>
                <c:pt idx="9">
                  <c:v>17.648</c:v>
                </c:pt>
                <c:pt idx="10">
                  <c:v>17.821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Uniform_Read_80_Ins_20!$H$4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Uniform_Read_80_Ins_20!$H$5:$H$15</c:f>
              <c:numCache>
                <c:formatCode>General</c:formatCode>
                <c:ptCount val="11"/>
                <c:pt idx="0">
                  <c:v>3.059</c:v>
                </c:pt>
                <c:pt idx="1">
                  <c:v>12.812</c:v>
                </c:pt>
                <c:pt idx="2">
                  <c:v>14.101</c:v>
                </c:pt>
                <c:pt idx="3">
                  <c:v>15.25</c:v>
                </c:pt>
                <c:pt idx="4">
                  <c:v>16.478</c:v>
                </c:pt>
                <c:pt idx="5">
                  <c:v>17.866</c:v>
                </c:pt>
                <c:pt idx="6">
                  <c:v>19.628</c:v>
                </c:pt>
                <c:pt idx="7">
                  <c:v>21.907</c:v>
                </c:pt>
                <c:pt idx="8">
                  <c:v>24.274</c:v>
                </c:pt>
                <c:pt idx="9">
                  <c:v>27.017</c:v>
                </c:pt>
                <c:pt idx="10">
                  <c:v>30.039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Uniform_Read_80_Ins_20!$I$4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Uniform_Read_80_Ins_20!$I$5:$I$15</c:f>
              <c:numCache>
                <c:formatCode>General</c:formatCode>
                <c:ptCount val="11"/>
                <c:pt idx="0">
                  <c:v>3.775</c:v>
                </c:pt>
                <c:pt idx="1">
                  <c:v>13.046</c:v>
                </c:pt>
                <c:pt idx="2">
                  <c:v>13.949</c:v>
                </c:pt>
                <c:pt idx="3">
                  <c:v>14.516</c:v>
                </c:pt>
                <c:pt idx="4">
                  <c:v>14.926</c:v>
                </c:pt>
                <c:pt idx="5">
                  <c:v>15.241</c:v>
                </c:pt>
                <c:pt idx="6">
                  <c:v>15.49</c:v>
                </c:pt>
                <c:pt idx="7">
                  <c:v>15.719</c:v>
                </c:pt>
                <c:pt idx="8">
                  <c:v>15.913</c:v>
                </c:pt>
                <c:pt idx="9">
                  <c:v>16.091</c:v>
                </c:pt>
                <c:pt idx="10">
                  <c:v>16.253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Uniform_Read_80_Ins_20!$J$4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Uniform_Read_80_Ins_20!$J$5:$J$15</c:f>
              <c:numCache>
                <c:formatCode>General</c:formatCode>
                <c:ptCount val="11"/>
                <c:pt idx="0">
                  <c:v>2.56</c:v>
                </c:pt>
                <c:pt idx="1">
                  <c:v>11.58</c:v>
                </c:pt>
                <c:pt idx="2">
                  <c:v>12.561</c:v>
                </c:pt>
                <c:pt idx="3">
                  <c:v>13.29</c:v>
                </c:pt>
                <c:pt idx="4">
                  <c:v>13.863</c:v>
                </c:pt>
                <c:pt idx="5">
                  <c:v>14.447</c:v>
                </c:pt>
                <c:pt idx="6">
                  <c:v>15.09</c:v>
                </c:pt>
                <c:pt idx="7">
                  <c:v>15.856</c:v>
                </c:pt>
                <c:pt idx="8">
                  <c:v>16.665</c:v>
                </c:pt>
                <c:pt idx="9">
                  <c:v>17.599</c:v>
                </c:pt>
                <c:pt idx="10">
                  <c:v>18.665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Uniform_Read_80_Ins_20!$K$4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Uniform_Read_80_Ins_20!$K$5:$K$15</c:f>
              <c:numCache>
                <c:formatCode>General</c:formatCode>
                <c:ptCount val="11"/>
                <c:pt idx="0">
                  <c:v>2.182</c:v>
                </c:pt>
                <c:pt idx="1">
                  <c:v>20.296</c:v>
                </c:pt>
                <c:pt idx="2">
                  <c:v>21.995</c:v>
                </c:pt>
                <c:pt idx="3">
                  <c:v>23.138</c:v>
                </c:pt>
                <c:pt idx="4">
                  <c:v>23.98</c:v>
                </c:pt>
                <c:pt idx="5">
                  <c:v>24.628</c:v>
                </c:pt>
                <c:pt idx="6">
                  <c:v>25.283</c:v>
                </c:pt>
                <c:pt idx="7">
                  <c:v>26.008</c:v>
                </c:pt>
                <c:pt idx="8">
                  <c:v>26.813</c:v>
                </c:pt>
                <c:pt idx="9">
                  <c:v>27.569</c:v>
                </c:pt>
                <c:pt idx="10">
                  <c:v>28.256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Uniform_Read_80_Ins_20!$P$4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Uniform_Read_80_Ins_20!$P$5:$P$15</c:f>
              <c:numCache>
                <c:formatCode>General</c:formatCode>
                <c:ptCount val="11"/>
                <c:pt idx="0">
                  <c:v>3.623</c:v>
                </c:pt>
                <c:pt idx="1">
                  <c:v>13.775</c:v>
                </c:pt>
                <c:pt idx="2">
                  <c:v>14.715</c:v>
                </c:pt>
                <c:pt idx="3">
                  <c:v>15.34</c:v>
                </c:pt>
                <c:pt idx="4">
                  <c:v>15.871</c:v>
                </c:pt>
                <c:pt idx="5">
                  <c:v>16.347</c:v>
                </c:pt>
                <c:pt idx="6">
                  <c:v>16.887</c:v>
                </c:pt>
                <c:pt idx="7">
                  <c:v>17.506</c:v>
                </c:pt>
                <c:pt idx="8">
                  <c:v>18.116</c:v>
                </c:pt>
                <c:pt idx="9">
                  <c:v>18.837</c:v>
                </c:pt>
                <c:pt idx="10">
                  <c:v>19.689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Uniform_Read_80_Ins_20!$Q$4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Uniform_Read_80_Ins_20!$Q$5:$Q$15</c:f>
              <c:numCache>
                <c:formatCode>General</c:formatCode>
                <c:ptCount val="11"/>
                <c:pt idx="0">
                  <c:v>3.857</c:v>
                </c:pt>
                <c:pt idx="1">
                  <c:v>26.702</c:v>
                </c:pt>
                <c:pt idx="2">
                  <c:v>26.709</c:v>
                </c:pt>
                <c:pt idx="3">
                  <c:v>26.718</c:v>
                </c:pt>
                <c:pt idx="4">
                  <c:v>26.725</c:v>
                </c:pt>
                <c:pt idx="5">
                  <c:v>26.731</c:v>
                </c:pt>
                <c:pt idx="6">
                  <c:v>26.736</c:v>
                </c:pt>
                <c:pt idx="7">
                  <c:v>26.741</c:v>
                </c:pt>
                <c:pt idx="8">
                  <c:v>26.746</c:v>
                </c:pt>
                <c:pt idx="9">
                  <c:v>26.751</c:v>
                </c:pt>
                <c:pt idx="10">
                  <c:v>26.757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Uniform_Read_80_Ins_20!$R$4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Uniform_Read_80_Ins_20!$R$5:$R$15</c:f>
              <c:numCache>
                <c:formatCode>General</c:formatCode>
                <c:ptCount val="11"/>
                <c:pt idx="0">
                  <c:v>10.2966</c:v>
                </c:pt>
                <c:pt idx="1">
                  <c:v>10.3664</c:v>
                </c:pt>
                <c:pt idx="2">
                  <c:v>10.45</c:v>
                </c:pt>
                <c:pt idx="3">
                  <c:v>10.5378</c:v>
                </c:pt>
                <c:pt idx="4">
                  <c:v>10.6448</c:v>
                </c:pt>
                <c:pt idx="5">
                  <c:v>10.7653</c:v>
                </c:pt>
                <c:pt idx="6">
                  <c:v>14.1651</c:v>
                </c:pt>
                <c:pt idx="7">
                  <c:v>14.2402</c:v>
                </c:pt>
                <c:pt idx="8">
                  <c:v>14.3162</c:v>
                </c:pt>
                <c:pt idx="9">
                  <c:v>14.4035</c:v>
                </c:pt>
                <c:pt idx="10">
                  <c:v>14.7606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510057"/>
        <c:axId val="29655909"/>
      </c:lineChart>
      <c:catAx>
        <c:axId val="81510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3309163645456"/>
              <c:y val="0.877861747054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9655909"/>
        <c:crossesAt val="0"/>
        <c:auto val="1"/>
        <c:lblAlgn val="ctr"/>
        <c:lblOffset val="100"/>
        <c:noMultiLvlLbl val="0"/>
      </c:catAx>
      <c:valAx>
        <c:axId val="296559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151005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Zipf_Read_Only!$E$4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Zipf_Read_Only!$F$4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Zipf_Read_Only!$F$5:$F$15</c:f>
              <c:numCache>
                <c:formatCode>General</c:formatCode>
                <c:ptCount val="11"/>
                <c:pt idx="0">
                  <c:v>2.01</c:v>
                </c:pt>
                <c:pt idx="1">
                  <c:v>10.931</c:v>
                </c:pt>
                <c:pt idx="2">
                  <c:v>11.822</c:v>
                </c:pt>
                <c:pt idx="3">
                  <c:v>12.359</c:v>
                </c:pt>
                <c:pt idx="4">
                  <c:v>12.752</c:v>
                </c:pt>
                <c:pt idx="5">
                  <c:v>13.065</c:v>
                </c:pt>
                <c:pt idx="6">
                  <c:v>13.305</c:v>
                </c:pt>
                <c:pt idx="7">
                  <c:v>13.511</c:v>
                </c:pt>
                <c:pt idx="8">
                  <c:v>13.694</c:v>
                </c:pt>
                <c:pt idx="9">
                  <c:v>13.859</c:v>
                </c:pt>
                <c:pt idx="10">
                  <c:v>14.005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Zipf_Read_Only!$G$5:$G$15</c:f>
              <c:numCache>
                <c:formatCode>General</c:formatCode>
                <c:ptCount val="11"/>
                <c:pt idx="0">
                  <c:v>5.087</c:v>
                </c:pt>
                <c:pt idx="1">
                  <c:v>14.01</c:v>
                </c:pt>
                <c:pt idx="2">
                  <c:v>14.889</c:v>
                </c:pt>
                <c:pt idx="3">
                  <c:v>15.426</c:v>
                </c:pt>
                <c:pt idx="4">
                  <c:v>15.832</c:v>
                </c:pt>
                <c:pt idx="5">
                  <c:v>16.161</c:v>
                </c:pt>
                <c:pt idx="6">
                  <c:v>16.406</c:v>
                </c:pt>
                <c:pt idx="7">
                  <c:v>16.622</c:v>
                </c:pt>
                <c:pt idx="8">
                  <c:v>16.812</c:v>
                </c:pt>
                <c:pt idx="9">
                  <c:v>16.981</c:v>
                </c:pt>
                <c:pt idx="10">
                  <c:v>17.136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Zipf_Read_Only!$H$5:$H$15</c:f>
              <c:numCache>
                <c:formatCode>General</c:formatCode>
                <c:ptCount val="11"/>
                <c:pt idx="0">
                  <c:v>3.697</c:v>
                </c:pt>
                <c:pt idx="1">
                  <c:v>12.786</c:v>
                </c:pt>
                <c:pt idx="2">
                  <c:v>13.675</c:v>
                </c:pt>
                <c:pt idx="3">
                  <c:v>14.226</c:v>
                </c:pt>
                <c:pt idx="4">
                  <c:v>14.649</c:v>
                </c:pt>
                <c:pt idx="5">
                  <c:v>14.979</c:v>
                </c:pt>
                <c:pt idx="6">
                  <c:v>15.245</c:v>
                </c:pt>
                <c:pt idx="7">
                  <c:v>15.466</c:v>
                </c:pt>
                <c:pt idx="8">
                  <c:v>15.667</c:v>
                </c:pt>
                <c:pt idx="9">
                  <c:v>15.844</c:v>
                </c:pt>
                <c:pt idx="10">
                  <c:v>16.007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Zipf_Read_Only!$I$5:$I$15</c:f>
              <c:numCache>
                <c:formatCode>General</c:formatCode>
                <c:ptCount val="11"/>
                <c:pt idx="0">
                  <c:v>3.839</c:v>
                </c:pt>
                <c:pt idx="1">
                  <c:v>13.335</c:v>
                </c:pt>
                <c:pt idx="2">
                  <c:v>14.261</c:v>
                </c:pt>
                <c:pt idx="3">
                  <c:v>14.83</c:v>
                </c:pt>
                <c:pt idx="4">
                  <c:v>15.251</c:v>
                </c:pt>
                <c:pt idx="5">
                  <c:v>15.595</c:v>
                </c:pt>
                <c:pt idx="6">
                  <c:v>15.871</c:v>
                </c:pt>
                <c:pt idx="7">
                  <c:v>16.092</c:v>
                </c:pt>
                <c:pt idx="8">
                  <c:v>16.287</c:v>
                </c:pt>
                <c:pt idx="9">
                  <c:v>16.469</c:v>
                </c:pt>
                <c:pt idx="10">
                  <c:v>16.629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Zipf_Read_Only!$J$5:$J$15</c:f>
              <c:numCache>
                <c:formatCode>General</c:formatCode>
                <c:ptCount val="11"/>
                <c:pt idx="0">
                  <c:v>2.811</c:v>
                </c:pt>
                <c:pt idx="1">
                  <c:v>11.728</c:v>
                </c:pt>
                <c:pt idx="2">
                  <c:v>12.65</c:v>
                </c:pt>
                <c:pt idx="3">
                  <c:v>13.196</c:v>
                </c:pt>
                <c:pt idx="4">
                  <c:v>13.605</c:v>
                </c:pt>
                <c:pt idx="5">
                  <c:v>13.928</c:v>
                </c:pt>
                <c:pt idx="6">
                  <c:v>14.185</c:v>
                </c:pt>
                <c:pt idx="7">
                  <c:v>14.402</c:v>
                </c:pt>
                <c:pt idx="8">
                  <c:v>14.598</c:v>
                </c:pt>
                <c:pt idx="9">
                  <c:v>14.773</c:v>
                </c:pt>
                <c:pt idx="10">
                  <c:v>14.933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Zipf_Read_Only!$R$5:$R$15</c:f>
              <c:numCache>
                <c:formatCode>General</c:formatCode>
                <c:ptCount val="11"/>
                <c:pt idx="0">
                  <c:v>6.05795</c:v>
                </c:pt>
                <c:pt idx="1">
                  <c:v>10.5111</c:v>
                </c:pt>
                <c:pt idx="2">
                  <c:v>10.5251</c:v>
                </c:pt>
                <c:pt idx="3">
                  <c:v>10.5272</c:v>
                </c:pt>
                <c:pt idx="4">
                  <c:v>10.5293</c:v>
                </c:pt>
                <c:pt idx="5">
                  <c:v>10.5338</c:v>
                </c:pt>
                <c:pt idx="6">
                  <c:v>10.5409</c:v>
                </c:pt>
                <c:pt idx="7">
                  <c:v>10.543</c:v>
                </c:pt>
                <c:pt idx="8">
                  <c:v>10.5452</c:v>
                </c:pt>
                <c:pt idx="9">
                  <c:v>10.5474</c:v>
                </c:pt>
                <c:pt idx="10">
                  <c:v>10.5496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643644"/>
        <c:axId val="93976103"/>
      </c:lineChart>
      <c:catAx>
        <c:axId val="27643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3976103"/>
        <c:crosses val="autoZero"/>
        <c:auto val="1"/>
        <c:lblAlgn val="ctr"/>
        <c:lblOffset val="100"/>
        <c:noMultiLvlLbl val="0"/>
      </c:catAx>
      <c:valAx>
        <c:axId val="9397610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64364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Zipf_Read_Only!$F$5:$F$15</c:f>
              <c:numCache>
                <c:formatCode>General</c:formatCode>
                <c:ptCount val="11"/>
                <c:pt idx="0">
                  <c:v>2.01</c:v>
                </c:pt>
                <c:pt idx="1">
                  <c:v>10.931</c:v>
                </c:pt>
                <c:pt idx="2">
                  <c:v>11.822</c:v>
                </c:pt>
                <c:pt idx="3">
                  <c:v>12.359</c:v>
                </c:pt>
                <c:pt idx="4">
                  <c:v>12.752</c:v>
                </c:pt>
                <c:pt idx="5">
                  <c:v>13.065</c:v>
                </c:pt>
                <c:pt idx="6">
                  <c:v>13.305</c:v>
                </c:pt>
                <c:pt idx="7">
                  <c:v>13.511</c:v>
                </c:pt>
                <c:pt idx="8">
                  <c:v>13.694</c:v>
                </c:pt>
                <c:pt idx="9">
                  <c:v>13.859</c:v>
                </c:pt>
                <c:pt idx="10">
                  <c:v>14.005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Zipf_Read_Only!$G$5:$G$15</c:f>
              <c:numCache>
                <c:formatCode>General</c:formatCode>
                <c:ptCount val="11"/>
                <c:pt idx="0">
                  <c:v>5.087</c:v>
                </c:pt>
                <c:pt idx="1">
                  <c:v>14.01</c:v>
                </c:pt>
                <c:pt idx="2">
                  <c:v>14.889</c:v>
                </c:pt>
                <c:pt idx="3">
                  <c:v>15.426</c:v>
                </c:pt>
                <c:pt idx="4">
                  <c:v>15.832</c:v>
                </c:pt>
                <c:pt idx="5">
                  <c:v>16.161</c:v>
                </c:pt>
                <c:pt idx="6">
                  <c:v>16.406</c:v>
                </c:pt>
                <c:pt idx="7">
                  <c:v>16.622</c:v>
                </c:pt>
                <c:pt idx="8">
                  <c:v>16.812</c:v>
                </c:pt>
                <c:pt idx="9">
                  <c:v>16.981</c:v>
                </c:pt>
                <c:pt idx="10">
                  <c:v>17.136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Zipf_Read_Only!$H$5:$H$15</c:f>
              <c:numCache>
                <c:formatCode>General</c:formatCode>
                <c:ptCount val="11"/>
                <c:pt idx="0">
                  <c:v>3.697</c:v>
                </c:pt>
                <c:pt idx="1">
                  <c:v>12.786</c:v>
                </c:pt>
                <c:pt idx="2">
                  <c:v>13.675</c:v>
                </c:pt>
                <c:pt idx="3">
                  <c:v>14.226</c:v>
                </c:pt>
                <c:pt idx="4">
                  <c:v>14.649</c:v>
                </c:pt>
                <c:pt idx="5">
                  <c:v>14.979</c:v>
                </c:pt>
                <c:pt idx="6">
                  <c:v>15.245</c:v>
                </c:pt>
                <c:pt idx="7">
                  <c:v>15.466</c:v>
                </c:pt>
                <c:pt idx="8">
                  <c:v>15.667</c:v>
                </c:pt>
                <c:pt idx="9">
                  <c:v>15.844</c:v>
                </c:pt>
                <c:pt idx="10">
                  <c:v>16.007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Zipf_Read_Only!$I$5:$I$15</c:f>
              <c:numCache>
                <c:formatCode>General</c:formatCode>
                <c:ptCount val="11"/>
                <c:pt idx="0">
                  <c:v>3.839</c:v>
                </c:pt>
                <c:pt idx="1">
                  <c:v>13.335</c:v>
                </c:pt>
                <c:pt idx="2">
                  <c:v>14.261</c:v>
                </c:pt>
                <c:pt idx="3">
                  <c:v>14.83</c:v>
                </c:pt>
                <c:pt idx="4">
                  <c:v>15.251</c:v>
                </c:pt>
                <c:pt idx="5">
                  <c:v>15.595</c:v>
                </c:pt>
                <c:pt idx="6">
                  <c:v>15.871</c:v>
                </c:pt>
                <c:pt idx="7">
                  <c:v>16.092</c:v>
                </c:pt>
                <c:pt idx="8">
                  <c:v>16.287</c:v>
                </c:pt>
                <c:pt idx="9">
                  <c:v>16.469</c:v>
                </c:pt>
                <c:pt idx="10">
                  <c:v>16.629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Zipf_Read_Only!$J$5:$J$15</c:f>
              <c:numCache>
                <c:formatCode>General</c:formatCode>
                <c:ptCount val="11"/>
                <c:pt idx="0">
                  <c:v>2.811</c:v>
                </c:pt>
                <c:pt idx="1">
                  <c:v>11.728</c:v>
                </c:pt>
                <c:pt idx="2">
                  <c:v>12.65</c:v>
                </c:pt>
                <c:pt idx="3">
                  <c:v>13.196</c:v>
                </c:pt>
                <c:pt idx="4">
                  <c:v>13.605</c:v>
                </c:pt>
                <c:pt idx="5">
                  <c:v>13.928</c:v>
                </c:pt>
                <c:pt idx="6">
                  <c:v>14.185</c:v>
                </c:pt>
                <c:pt idx="7">
                  <c:v>14.402</c:v>
                </c:pt>
                <c:pt idx="8">
                  <c:v>14.598</c:v>
                </c:pt>
                <c:pt idx="9">
                  <c:v>14.773</c:v>
                </c:pt>
                <c:pt idx="10">
                  <c:v>14.933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Zipf_Read_Only!$R$5:$R$15</c:f>
              <c:numCache>
                <c:formatCode>General</c:formatCode>
                <c:ptCount val="11"/>
                <c:pt idx="0">
                  <c:v>6.05795</c:v>
                </c:pt>
                <c:pt idx="1">
                  <c:v>10.5111</c:v>
                </c:pt>
                <c:pt idx="2">
                  <c:v>10.5251</c:v>
                </c:pt>
                <c:pt idx="3">
                  <c:v>10.5272</c:v>
                </c:pt>
                <c:pt idx="4">
                  <c:v>10.5293</c:v>
                </c:pt>
                <c:pt idx="5">
                  <c:v>10.5338</c:v>
                </c:pt>
                <c:pt idx="6">
                  <c:v>10.5409</c:v>
                </c:pt>
                <c:pt idx="7">
                  <c:v>10.543</c:v>
                </c:pt>
                <c:pt idx="8">
                  <c:v>10.5452</c:v>
                </c:pt>
                <c:pt idx="9">
                  <c:v>10.5474</c:v>
                </c:pt>
                <c:pt idx="10">
                  <c:v>10.5496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535771"/>
        <c:axId val="87633597"/>
      </c:lineChart>
      <c:catAx>
        <c:axId val="33535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7633597"/>
        <c:crosses val="autoZero"/>
        <c:auto val="1"/>
        <c:lblAlgn val="ctr"/>
        <c:lblOffset val="100"/>
        <c:noMultiLvlLbl val="0"/>
      </c:catAx>
      <c:valAx>
        <c:axId val="8763359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353577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37837108953614"/>
          <c:y val="0.143726544274267"/>
          <c:w val="0.87378640776699"/>
          <c:h val="0.720255604016635"/>
        </c:manualLayout>
      </c:layout>
      <c:scatterChart>
        <c:scatterStyle val="lineMarker"/>
        <c:varyColors val="0"/>
        <c:ser>
          <c:idx val="0"/>
          <c:order val="0"/>
          <c:tx>
            <c:strRef>
              <c:f>Zipf_Read_Only!$H$44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Zipf_Read_Only!$H$45:$H$59</c:f>
              <c:numCache>
                <c:formatCode>General</c:formatCode>
                <c:ptCount val="15"/>
                <c:pt idx="0">
                  <c:v>319</c:v>
                </c:pt>
                <c:pt idx="1">
                  <c:v>727</c:v>
                </c:pt>
                <c:pt idx="2">
                  <c:v>448</c:v>
                </c:pt>
                <c:pt idx="3">
                  <c:v>283</c:v>
                </c:pt>
                <c:pt idx="4">
                  <c:v>246</c:v>
                </c:pt>
                <c:pt idx="5">
                  <c:v>616</c:v>
                </c:pt>
                <c:pt idx="6">
                  <c:v>226</c:v>
                </c:pt>
                <c:pt idx="7">
                  <c:v>588</c:v>
                </c:pt>
                <c:pt idx="8">
                  <c:v>257</c:v>
                </c:pt>
                <c:pt idx="9">
                  <c:v>135</c:v>
                </c:pt>
                <c:pt idx="10">
                  <c:v>700</c:v>
                </c:pt>
                <c:pt idx="11">
                  <c:v>246</c:v>
                </c:pt>
                <c:pt idx="12">
                  <c:v>631</c:v>
                </c:pt>
                <c:pt idx="13">
                  <c:v>248</c:v>
                </c:pt>
                <c:pt idx="14">
                  <c:v>290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Zipf_Read_Only!$I$44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Zipf_Read_Only!$I$45:$I$59</c:f>
              <c:numCache>
                <c:formatCode>General</c:formatCode>
                <c:ptCount val="15"/>
                <c:pt idx="0">
                  <c:v>989</c:v>
                </c:pt>
                <c:pt idx="1">
                  <c:v>969</c:v>
                </c:pt>
                <c:pt idx="2">
                  <c:v>949</c:v>
                </c:pt>
                <c:pt idx="3">
                  <c:v>929</c:v>
                </c:pt>
                <c:pt idx="4">
                  <c:v>909</c:v>
                </c:pt>
                <c:pt idx="5">
                  <c:v>889</c:v>
                </c:pt>
                <c:pt idx="6">
                  <c:v>869</c:v>
                </c:pt>
                <c:pt idx="7">
                  <c:v>849</c:v>
                </c:pt>
                <c:pt idx="8">
                  <c:v>829</c:v>
                </c:pt>
                <c:pt idx="9">
                  <c:v>809</c:v>
                </c:pt>
                <c:pt idx="10">
                  <c:v>789</c:v>
                </c:pt>
                <c:pt idx="11">
                  <c:v>769</c:v>
                </c:pt>
                <c:pt idx="12">
                  <c:v>749</c:v>
                </c:pt>
                <c:pt idx="13">
                  <c:v>729</c:v>
                </c:pt>
                <c:pt idx="14">
                  <c:v>709</c:v>
                </c:pt>
              </c:numCache>
            </c:numRef>
          </c:yVal>
          <c:smooth val="0"/>
        </c:ser>
        <c:axId val="5585207"/>
        <c:axId val="97178655"/>
      </c:scatterChart>
      <c:valAx>
        <c:axId val="55852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7200647249191"/>
              <c:y val="0.86976366771477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178655"/>
        <c:crosses val="autoZero"/>
        <c:crossBetween val="midCat"/>
      </c:valAx>
      <c:valAx>
        <c:axId val="971786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639212901917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5852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301961841839142"/>
          <c:y val="0"/>
          <c:w val="0.423543689320388"/>
          <c:h val="0.11958616492544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Zipf_Read_Only!$F$5:$F$15</c:f>
              <c:numCache>
                <c:formatCode>General</c:formatCode>
                <c:ptCount val="11"/>
                <c:pt idx="0">
                  <c:v>2.01</c:v>
                </c:pt>
                <c:pt idx="1">
                  <c:v>10.931</c:v>
                </c:pt>
                <c:pt idx="2">
                  <c:v>11.822</c:v>
                </c:pt>
                <c:pt idx="3">
                  <c:v>12.359</c:v>
                </c:pt>
                <c:pt idx="4">
                  <c:v>12.752</c:v>
                </c:pt>
                <c:pt idx="5">
                  <c:v>13.065</c:v>
                </c:pt>
                <c:pt idx="6">
                  <c:v>13.305</c:v>
                </c:pt>
                <c:pt idx="7">
                  <c:v>13.511</c:v>
                </c:pt>
                <c:pt idx="8">
                  <c:v>13.694</c:v>
                </c:pt>
                <c:pt idx="9">
                  <c:v>13.859</c:v>
                </c:pt>
                <c:pt idx="10">
                  <c:v>14.005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Zipf_Read_Only!$G$5:$G$15</c:f>
              <c:numCache>
                <c:formatCode>General</c:formatCode>
                <c:ptCount val="11"/>
                <c:pt idx="0">
                  <c:v>5.087</c:v>
                </c:pt>
                <c:pt idx="1">
                  <c:v>14.01</c:v>
                </c:pt>
                <c:pt idx="2">
                  <c:v>14.889</c:v>
                </c:pt>
                <c:pt idx="3">
                  <c:v>15.426</c:v>
                </c:pt>
                <c:pt idx="4">
                  <c:v>15.832</c:v>
                </c:pt>
                <c:pt idx="5">
                  <c:v>16.161</c:v>
                </c:pt>
                <c:pt idx="6">
                  <c:v>16.406</c:v>
                </c:pt>
                <c:pt idx="7">
                  <c:v>16.622</c:v>
                </c:pt>
                <c:pt idx="8">
                  <c:v>16.812</c:v>
                </c:pt>
                <c:pt idx="9">
                  <c:v>16.981</c:v>
                </c:pt>
                <c:pt idx="10">
                  <c:v>17.136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Zipf_Read_Only!$H$5:$H$15</c:f>
              <c:numCache>
                <c:formatCode>General</c:formatCode>
                <c:ptCount val="11"/>
                <c:pt idx="0">
                  <c:v>3.697</c:v>
                </c:pt>
                <c:pt idx="1">
                  <c:v>12.786</c:v>
                </c:pt>
                <c:pt idx="2">
                  <c:v>13.675</c:v>
                </c:pt>
                <c:pt idx="3">
                  <c:v>14.226</c:v>
                </c:pt>
                <c:pt idx="4">
                  <c:v>14.649</c:v>
                </c:pt>
                <c:pt idx="5">
                  <c:v>14.979</c:v>
                </c:pt>
                <c:pt idx="6">
                  <c:v>15.245</c:v>
                </c:pt>
                <c:pt idx="7">
                  <c:v>15.466</c:v>
                </c:pt>
                <c:pt idx="8">
                  <c:v>15.667</c:v>
                </c:pt>
                <c:pt idx="9">
                  <c:v>15.844</c:v>
                </c:pt>
                <c:pt idx="10">
                  <c:v>16.007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Zipf_Read_Only!$I$5:$I$15</c:f>
              <c:numCache>
                <c:formatCode>General</c:formatCode>
                <c:ptCount val="11"/>
                <c:pt idx="0">
                  <c:v>3.839</c:v>
                </c:pt>
                <c:pt idx="1">
                  <c:v>13.335</c:v>
                </c:pt>
                <c:pt idx="2">
                  <c:v>14.261</c:v>
                </c:pt>
                <c:pt idx="3">
                  <c:v>14.83</c:v>
                </c:pt>
                <c:pt idx="4">
                  <c:v>15.251</c:v>
                </c:pt>
                <c:pt idx="5">
                  <c:v>15.595</c:v>
                </c:pt>
                <c:pt idx="6">
                  <c:v>15.871</c:v>
                </c:pt>
                <c:pt idx="7">
                  <c:v>16.092</c:v>
                </c:pt>
                <c:pt idx="8">
                  <c:v>16.287</c:v>
                </c:pt>
                <c:pt idx="9">
                  <c:v>16.469</c:v>
                </c:pt>
                <c:pt idx="10">
                  <c:v>16.629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Zipf_Read_Only!$J$5:$J$15</c:f>
              <c:numCache>
                <c:formatCode>General</c:formatCode>
                <c:ptCount val="11"/>
                <c:pt idx="0">
                  <c:v>2.811</c:v>
                </c:pt>
                <c:pt idx="1">
                  <c:v>11.728</c:v>
                </c:pt>
                <c:pt idx="2">
                  <c:v>12.65</c:v>
                </c:pt>
                <c:pt idx="3">
                  <c:v>13.196</c:v>
                </c:pt>
                <c:pt idx="4">
                  <c:v>13.605</c:v>
                </c:pt>
                <c:pt idx="5">
                  <c:v>13.928</c:v>
                </c:pt>
                <c:pt idx="6">
                  <c:v>14.185</c:v>
                </c:pt>
                <c:pt idx="7">
                  <c:v>14.402</c:v>
                </c:pt>
                <c:pt idx="8">
                  <c:v>14.598</c:v>
                </c:pt>
                <c:pt idx="9">
                  <c:v>14.773</c:v>
                </c:pt>
                <c:pt idx="10">
                  <c:v>14.933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Zipf_Read_Only!$K$4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Zipf_Read_Only!$K$5:$K$15</c:f>
              <c:numCache>
                <c:formatCode>General</c:formatCode>
                <c:ptCount val="11"/>
                <c:pt idx="0">
                  <c:v>2.122</c:v>
                </c:pt>
                <c:pt idx="1">
                  <c:v>19.524</c:v>
                </c:pt>
                <c:pt idx="2">
                  <c:v>21.175</c:v>
                </c:pt>
                <c:pt idx="3">
                  <c:v>22.187</c:v>
                </c:pt>
                <c:pt idx="4">
                  <c:v>22.942</c:v>
                </c:pt>
                <c:pt idx="5">
                  <c:v>23.5</c:v>
                </c:pt>
                <c:pt idx="6">
                  <c:v>23.968</c:v>
                </c:pt>
                <c:pt idx="7">
                  <c:v>24.332</c:v>
                </c:pt>
                <c:pt idx="8">
                  <c:v>24.661</c:v>
                </c:pt>
                <c:pt idx="9">
                  <c:v>24.957</c:v>
                </c:pt>
                <c:pt idx="10">
                  <c:v>25.232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Zipf_Read_Only!$P$4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Zipf_Read_Only!$P$5:$P$15</c:f>
              <c:numCache>
                <c:formatCode>General</c:formatCode>
                <c:ptCount val="11"/>
                <c:pt idx="0">
                  <c:v>3.731</c:v>
                </c:pt>
                <c:pt idx="1">
                  <c:v>14.107</c:v>
                </c:pt>
                <c:pt idx="2">
                  <c:v>14.994</c:v>
                </c:pt>
                <c:pt idx="3">
                  <c:v>15.571</c:v>
                </c:pt>
                <c:pt idx="4">
                  <c:v>15.976</c:v>
                </c:pt>
                <c:pt idx="5">
                  <c:v>16.31</c:v>
                </c:pt>
                <c:pt idx="6">
                  <c:v>16.583</c:v>
                </c:pt>
                <c:pt idx="7">
                  <c:v>16.793</c:v>
                </c:pt>
                <c:pt idx="8">
                  <c:v>16.992</c:v>
                </c:pt>
                <c:pt idx="9">
                  <c:v>17.149</c:v>
                </c:pt>
                <c:pt idx="10">
                  <c:v>17.291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Zipf_Read_Only!$Q$4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Zipf_Read_Only!$Q$5:$Q$15</c:f>
              <c:numCache>
                <c:formatCode>General</c:formatCode>
                <c:ptCount val="11"/>
                <c:pt idx="0">
                  <c:v>3.561</c:v>
                </c:pt>
                <c:pt idx="1">
                  <c:v>26.088</c:v>
                </c:pt>
                <c:pt idx="2">
                  <c:v>26.118</c:v>
                </c:pt>
                <c:pt idx="3">
                  <c:v>26.123</c:v>
                </c:pt>
                <c:pt idx="4">
                  <c:v>26.127</c:v>
                </c:pt>
                <c:pt idx="5">
                  <c:v>26.132</c:v>
                </c:pt>
                <c:pt idx="6">
                  <c:v>26.138</c:v>
                </c:pt>
                <c:pt idx="7">
                  <c:v>26.144</c:v>
                </c:pt>
                <c:pt idx="8">
                  <c:v>26.149</c:v>
                </c:pt>
                <c:pt idx="9">
                  <c:v>26.154</c:v>
                </c:pt>
                <c:pt idx="10">
                  <c:v>26.159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Zipf_Read_Only!$R$5:$R$15</c:f>
              <c:numCache>
                <c:formatCode>General</c:formatCode>
                <c:ptCount val="11"/>
                <c:pt idx="0">
                  <c:v>6.05795</c:v>
                </c:pt>
                <c:pt idx="1">
                  <c:v>10.5111</c:v>
                </c:pt>
                <c:pt idx="2">
                  <c:v>10.5251</c:v>
                </c:pt>
                <c:pt idx="3">
                  <c:v>10.5272</c:v>
                </c:pt>
                <c:pt idx="4">
                  <c:v>10.5293</c:v>
                </c:pt>
                <c:pt idx="5">
                  <c:v>10.5338</c:v>
                </c:pt>
                <c:pt idx="6">
                  <c:v>10.5409</c:v>
                </c:pt>
                <c:pt idx="7">
                  <c:v>10.543</c:v>
                </c:pt>
                <c:pt idx="8">
                  <c:v>10.5452</c:v>
                </c:pt>
                <c:pt idx="9">
                  <c:v>10.5474</c:v>
                </c:pt>
                <c:pt idx="10">
                  <c:v>10.5496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068403"/>
        <c:axId val="23862697"/>
      </c:lineChart>
      <c:catAx>
        <c:axId val="76068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3862697"/>
        <c:crosses val="autoZero"/>
        <c:auto val="1"/>
        <c:lblAlgn val="ctr"/>
        <c:lblOffset val="100"/>
        <c:noMultiLvlLbl val="0"/>
      </c:catAx>
      <c:valAx>
        <c:axId val="238626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60684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7514689336167"/>
          <c:y val="0.0594576572571683"/>
          <c:w val="0.788723590448806"/>
          <c:h val="0.646254723271838"/>
        </c:manualLayout>
      </c:layout>
      <c:lineChart>
        <c:grouping val="standard"/>
        <c:varyColors val="0"/>
        <c:ser>
          <c:idx val="0"/>
          <c:order val="0"/>
          <c:tx>
            <c:strRef>
              <c:f>Zipf_Read_Only!$F$4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Zipf_Read_Only!$F$5:$F$15</c:f>
              <c:numCache>
                <c:formatCode>General</c:formatCode>
                <c:ptCount val="11"/>
                <c:pt idx="0">
                  <c:v>2.01</c:v>
                </c:pt>
                <c:pt idx="1">
                  <c:v>10.931</c:v>
                </c:pt>
                <c:pt idx="2">
                  <c:v>11.822</c:v>
                </c:pt>
                <c:pt idx="3">
                  <c:v>12.359</c:v>
                </c:pt>
                <c:pt idx="4">
                  <c:v>12.752</c:v>
                </c:pt>
                <c:pt idx="5">
                  <c:v>13.065</c:v>
                </c:pt>
                <c:pt idx="6">
                  <c:v>13.305</c:v>
                </c:pt>
                <c:pt idx="7">
                  <c:v>13.511</c:v>
                </c:pt>
                <c:pt idx="8">
                  <c:v>13.694</c:v>
                </c:pt>
                <c:pt idx="9">
                  <c:v>13.859</c:v>
                </c:pt>
                <c:pt idx="10">
                  <c:v>14.005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Zipf_Read_Only!$G$4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Zipf_Read_Only!$G$5:$G$15</c:f>
              <c:numCache>
                <c:formatCode>General</c:formatCode>
                <c:ptCount val="11"/>
                <c:pt idx="0">
                  <c:v>5.087</c:v>
                </c:pt>
                <c:pt idx="1">
                  <c:v>14.01</c:v>
                </c:pt>
                <c:pt idx="2">
                  <c:v>14.889</c:v>
                </c:pt>
                <c:pt idx="3">
                  <c:v>15.426</c:v>
                </c:pt>
                <c:pt idx="4">
                  <c:v>15.832</c:v>
                </c:pt>
                <c:pt idx="5">
                  <c:v>16.161</c:v>
                </c:pt>
                <c:pt idx="6">
                  <c:v>16.406</c:v>
                </c:pt>
                <c:pt idx="7">
                  <c:v>16.622</c:v>
                </c:pt>
                <c:pt idx="8">
                  <c:v>16.812</c:v>
                </c:pt>
                <c:pt idx="9">
                  <c:v>16.981</c:v>
                </c:pt>
                <c:pt idx="10">
                  <c:v>17.136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Zipf_Read_Only!$H$4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Zipf_Read_Only!$H$5:$H$15</c:f>
              <c:numCache>
                <c:formatCode>General</c:formatCode>
                <c:ptCount val="11"/>
                <c:pt idx="0">
                  <c:v>3.697</c:v>
                </c:pt>
                <c:pt idx="1">
                  <c:v>12.786</c:v>
                </c:pt>
                <c:pt idx="2">
                  <c:v>13.675</c:v>
                </c:pt>
                <c:pt idx="3">
                  <c:v>14.226</c:v>
                </c:pt>
                <c:pt idx="4">
                  <c:v>14.649</c:v>
                </c:pt>
                <c:pt idx="5">
                  <c:v>14.979</c:v>
                </c:pt>
                <c:pt idx="6">
                  <c:v>15.245</c:v>
                </c:pt>
                <c:pt idx="7">
                  <c:v>15.466</c:v>
                </c:pt>
                <c:pt idx="8">
                  <c:v>15.667</c:v>
                </c:pt>
                <c:pt idx="9">
                  <c:v>15.844</c:v>
                </c:pt>
                <c:pt idx="10">
                  <c:v>16.007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Zipf_Read_Only!$I$4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Zipf_Read_Only!$I$5:$I$15</c:f>
              <c:numCache>
                <c:formatCode>General</c:formatCode>
                <c:ptCount val="11"/>
                <c:pt idx="0">
                  <c:v>3.839</c:v>
                </c:pt>
                <c:pt idx="1">
                  <c:v>13.335</c:v>
                </c:pt>
                <c:pt idx="2">
                  <c:v>14.261</c:v>
                </c:pt>
                <c:pt idx="3">
                  <c:v>14.83</c:v>
                </c:pt>
                <c:pt idx="4">
                  <c:v>15.251</c:v>
                </c:pt>
                <c:pt idx="5">
                  <c:v>15.595</c:v>
                </c:pt>
                <c:pt idx="6">
                  <c:v>15.871</c:v>
                </c:pt>
                <c:pt idx="7">
                  <c:v>16.092</c:v>
                </c:pt>
                <c:pt idx="8">
                  <c:v>16.287</c:v>
                </c:pt>
                <c:pt idx="9">
                  <c:v>16.469</c:v>
                </c:pt>
                <c:pt idx="10">
                  <c:v>16.629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Zipf_Read_Only!$J$4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Zipf_Read_Only!$J$5:$J$15</c:f>
              <c:numCache>
                <c:formatCode>General</c:formatCode>
                <c:ptCount val="11"/>
                <c:pt idx="0">
                  <c:v>2.811</c:v>
                </c:pt>
                <c:pt idx="1">
                  <c:v>11.728</c:v>
                </c:pt>
                <c:pt idx="2">
                  <c:v>12.65</c:v>
                </c:pt>
                <c:pt idx="3">
                  <c:v>13.196</c:v>
                </c:pt>
                <c:pt idx="4">
                  <c:v>13.605</c:v>
                </c:pt>
                <c:pt idx="5">
                  <c:v>13.928</c:v>
                </c:pt>
                <c:pt idx="6">
                  <c:v>14.185</c:v>
                </c:pt>
                <c:pt idx="7">
                  <c:v>14.402</c:v>
                </c:pt>
                <c:pt idx="8">
                  <c:v>14.598</c:v>
                </c:pt>
                <c:pt idx="9">
                  <c:v>14.773</c:v>
                </c:pt>
                <c:pt idx="10">
                  <c:v>14.933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Zipf_Read_Only!$K$4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Zipf_Read_Only!$K$5:$K$15</c:f>
              <c:numCache>
                <c:formatCode>General</c:formatCode>
                <c:ptCount val="11"/>
                <c:pt idx="0">
                  <c:v>2.122</c:v>
                </c:pt>
                <c:pt idx="1">
                  <c:v>19.524</c:v>
                </c:pt>
                <c:pt idx="2">
                  <c:v>21.175</c:v>
                </c:pt>
                <c:pt idx="3">
                  <c:v>22.187</c:v>
                </c:pt>
                <c:pt idx="4">
                  <c:v>22.942</c:v>
                </c:pt>
                <c:pt idx="5">
                  <c:v>23.5</c:v>
                </c:pt>
                <c:pt idx="6">
                  <c:v>23.968</c:v>
                </c:pt>
                <c:pt idx="7">
                  <c:v>24.332</c:v>
                </c:pt>
                <c:pt idx="8">
                  <c:v>24.661</c:v>
                </c:pt>
                <c:pt idx="9">
                  <c:v>24.957</c:v>
                </c:pt>
                <c:pt idx="10">
                  <c:v>25.232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Zipf_Read_Only!$P$4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Zipf_Read_Only!$P$5:$P$15</c:f>
              <c:numCache>
                <c:formatCode>General</c:formatCode>
                <c:ptCount val="11"/>
                <c:pt idx="0">
                  <c:v>3.731</c:v>
                </c:pt>
                <c:pt idx="1">
                  <c:v>14.107</c:v>
                </c:pt>
                <c:pt idx="2">
                  <c:v>14.994</c:v>
                </c:pt>
                <c:pt idx="3">
                  <c:v>15.571</c:v>
                </c:pt>
                <c:pt idx="4">
                  <c:v>15.976</c:v>
                </c:pt>
                <c:pt idx="5">
                  <c:v>16.31</c:v>
                </c:pt>
                <c:pt idx="6">
                  <c:v>16.583</c:v>
                </c:pt>
                <c:pt idx="7">
                  <c:v>16.793</c:v>
                </c:pt>
                <c:pt idx="8">
                  <c:v>16.992</c:v>
                </c:pt>
                <c:pt idx="9">
                  <c:v>17.149</c:v>
                </c:pt>
                <c:pt idx="10">
                  <c:v>17.291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Zipf_Read_Only!$Q$4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Zipf_Read_Only!$Q$5:$Q$15</c:f>
              <c:numCache>
                <c:formatCode>General</c:formatCode>
                <c:ptCount val="11"/>
                <c:pt idx="0">
                  <c:v>3.561</c:v>
                </c:pt>
                <c:pt idx="1">
                  <c:v>26.088</c:v>
                </c:pt>
                <c:pt idx="2">
                  <c:v>26.118</c:v>
                </c:pt>
                <c:pt idx="3">
                  <c:v>26.123</c:v>
                </c:pt>
                <c:pt idx="4">
                  <c:v>26.127</c:v>
                </c:pt>
                <c:pt idx="5">
                  <c:v>26.132</c:v>
                </c:pt>
                <c:pt idx="6">
                  <c:v>26.138</c:v>
                </c:pt>
                <c:pt idx="7">
                  <c:v>26.144</c:v>
                </c:pt>
                <c:pt idx="8">
                  <c:v>26.149</c:v>
                </c:pt>
                <c:pt idx="9">
                  <c:v>26.154</c:v>
                </c:pt>
                <c:pt idx="10">
                  <c:v>26.159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Zipf_Read_Only!$R$4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Zipf_Read_Only!$C$5:$C$15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Zipf_Read_Only!$R$5:$R$15</c:f>
              <c:numCache>
                <c:formatCode>General</c:formatCode>
                <c:ptCount val="11"/>
                <c:pt idx="0">
                  <c:v>6.05795</c:v>
                </c:pt>
                <c:pt idx="1">
                  <c:v>10.5111</c:v>
                </c:pt>
                <c:pt idx="2">
                  <c:v>10.5251</c:v>
                </c:pt>
                <c:pt idx="3">
                  <c:v>10.5272</c:v>
                </c:pt>
                <c:pt idx="4">
                  <c:v>10.5293</c:v>
                </c:pt>
                <c:pt idx="5">
                  <c:v>10.5338</c:v>
                </c:pt>
                <c:pt idx="6">
                  <c:v>10.5409</c:v>
                </c:pt>
                <c:pt idx="7">
                  <c:v>10.543</c:v>
                </c:pt>
                <c:pt idx="8">
                  <c:v>10.5452</c:v>
                </c:pt>
                <c:pt idx="9">
                  <c:v>10.5474</c:v>
                </c:pt>
                <c:pt idx="10">
                  <c:v>10.5496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926539"/>
        <c:axId val="71259786"/>
      </c:lineChart>
      <c:catAx>
        <c:axId val="46926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7370921365171"/>
              <c:y val="0.877861747054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1259786"/>
        <c:crossesAt val="0"/>
        <c:auto val="1"/>
        <c:lblAlgn val="ctr"/>
        <c:lblOffset val="100"/>
        <c:noMultiLvlLbl val="0"/>
      </c:catAx>
      <c:valAx>
        <c:axId val="712597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layout>
            <c:manualLayout>
              <c:xMode val="edge"/>
              <c:yMode val="edge"/>
              <c:x val="0"/>
              <c:y val="0.11469215381195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6926539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Zipf_Read_90_Ins_10!$E$4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Zipf_Read_90_Ins_10!$F$4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Zipf_Read_90_Ins_10!$F$5:$F$15</c:f>
              <c:numCache>
                <c:formatCode>General</c:formatCode>
                <c:ptCount val="11"/>
                <c:pt idx="0">
                  <c:v>1.934</c:v>
                </c:pt>
                <c:pt idx="1">
                  <c:v>11.37</c:v>
                </c:pt>
                <c:pt idx="2">
                  <c:v>12.438</c:v>
                </c:pt>
                <c:pt idx="3">
                  <c:v>13.102</c:v>
                </c:pt>
                <c:pt idx="4">
                  <c:v>13.64</c:v>
                </c:pt>
                <c:pt idx="5">
                  <c:v>14.103</c:v>
                </c:pt>
                <c:pt idx="6">
                  <c:v>14.548</c:v>
                </c:pt>
                <c:pt idx="7">
                  <c:v>14.97</c:v>
                </c:pt>
                <c:pt idx="8">
                  <c:v>15.452</c:v>
                </c:pt>
                <c:pt idx="9">
                  <c:v>15.921</c:v>
                </c:pt>
                <c:pt idx="10">
                  <c:v>16.437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Zipf_Read_90_Ins_10!$G$5:$G$15</c:f>
              <c:numCache>
                <c:formatCode>General</c:formatCode>
                <c:ptCount val="11"/>
                <c:pt idx="0">
                  <c:v>4.238</c:v>
                </c:pt>
                <c:pt idx="1">
                  <c:v>13.974</c:v>
                </c:pt>
                <c:pt idx="2">
                  <c:v>14.873</c:v>
                </c:pt>
                <c:pt idx="3">
                  <c:v>15.401</c:v>
                </c:pt>
                <c:pt idx="4">
                  <c:v>15.789</c:v>
                </c:pt>
                <c:pt idx="5">
                  <c:v>16.11</c:v>
                </c:pt>
                <c:pt idx="6">
                  <c:v>16.358</c:v>
                </c:pt>
                <c:pt idx="7">
                  <c:v>16.573</c:v>
                </c:pt>
                <c:pt idx="8">
                  <c:v>16.764</c:v>
                </c:pt>
                <c:pt idx="9">
                  <c:v>16.938</c:v>
                </c:pt>
                <c:pt idx="10">
                  <c:v>17.085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Zipf_Read_90_Ins_10!$H$5:$H$15</c:f>
              <c:numCache>
                <c:formatCode>General</c:formatCode>
                <c:ptCount val="11"/>
                <c:pt idx="0">
                  <c:v>3.769</c:v>
                </c:pt>
                <c:pt idx="1">
                  <c:v>13.385</c:v>
                </c:pt>
                <c:pt idx="2">
                  <c:v>14.827</c:v>
                </c:pt>
                <c:pt idx="3">
                  <c:v>15.922</c:v>
                </c:pt>
                <c:pt idx="4">
                  <c:v>17.196</c:v>
                </c:pt>
                <c:pt idx="5">
                  <c:v>18.509</c:v>
                </c:pt>
                <c:pt idx="6">
                  <c:v>19.896</c:v>
                </c:pt>
                <c:pt idx="7">
                  <c:v>21.294</c:v>
                </c:pt>
                <c:pt idx="8">
                  <c:v>22.98</c:v>
                </c:pt>
                <c:pt idx="9">
                  <c:v>24.599</c:v>
                </c:pt>
                <c:pt idx="10">
                  <c:v>27.018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Zipf_Read_90_Ins_10!$I$5:$I$15</c:f>
              <c:numCache>
                <c:formatCode>General</c:formatCode>
                <c:ptCount val="11"/>
                <c:pt idx="0">
                  <c:v>3.398</c:v>
                </c:pt>
                <c:pt idx="1">
                  <c:v>12.979</c:v>
                </c:pt>
                <c:pt idx="2">
                  <c:v>13.86</c:v>
                </c:pt>
                <c:pt idx="3">
                  <c:v>14.385</c:v>
                </c:pt>
                <c:pt idx="4">
                  <c:v>14.758</c:v>
                </c:pt>
                <c:pt idx="5">
                  <c:v>15.06</c:v>
                </c:pt>
                <c:pt idx="6">
                  <c:v>15.31</c:v>
                </c:pt>
                <c:pt idx="7">
                  <c:v>15.518</c:v>
                </c:pt>
                <c:pt idx="8">
                  <c:v>15.699</c:v>
                </c:pt>
                <c:pt idx="9">
                  <c:v>15.86</c:v>
                </c:pt>
                <c:pt idx="10">
                  <c:v>16.005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Zipf_Read_90_Ins_10!$J$5:$J$15</c:f>
              <c:numCache>
                <c:formatCode>General</c:formatCode>
                <c:ptCount val="11"/>
                <c:pt idx="0">
                  <c:v>2.541</c:v>
                </c:pt>
                <c:pt idx="1">
                  <c:v>12.224</c:v>
                </c:pt>
                <c:pt idx="2">
                  <c:v>13.282</c:v>
                </c:pt>
                <c:pt idx="3">
                  <c:v>14.014</c:v>
                </c:pt>
                <c:pt idx="4">
                  <c:v>14.707</c:v>
                </c:pt>
                <c:pt idx="5">
                  <c:v>15.314</c:v>
                </c:pt>
                <c:pt idx="6">
                  <c:v>15.901</c:v>
                </c:pt>
                <c:pt idx="7">
                  <c:v>16.461</c:v>
                </c:pt>
                <c:pt idx="8">
                  <c:v>17.081</c:v>
                </c:pt>
                <c:pt idx="9">
                  <c:v>17.835</c:v>
                </c:pt>
                <c:pt idx="10">
                  <c:v>18.699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Zipf_Read_90_Ins_10!$R$5:$R$15</c:f>
              <c:numCache>
                <c:formatCode>General</c:formatCode>
                <c:ptCount val="11"/>
                <c:pt idx="0">
                  <c:v>2.8374</c:v>
                </c:pt>
                <c:pt idx="1">
                  <c:v>11.4622</c:v>
                </c:pt>
                <c:pt idx="2">
                  <c:v>11.71</c:v>
                </c:pt>
                <c:pt idx="3">
                  <c:v>11.9512</c:v>
                </c:pt>
                <c:pt idx="4">
                  <c:v>12.1987</c:v>
                </c:pt>
                <c:pt idx="5">
                  <c:v>12.4468</c:v>
                </c:pt>
                <c:pt idx="6">
                  <c:v>12.7034</c:v>
                </c:pt>
                <c:pt idx="7">
                  <c:v>12.9607</c:v>
                </c:pt>
                <c:pt idx="8">
                  <c:v>13.2225</c:v>
                </c:pt>
                <c:pt idx="9">
                  <c:v>13.4824</c:v>
                </c:pt>
                <c:pt idx="10">
                  <c:v>13.7396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672393"/>
        <c:axId val="66478365"/>
      </c:lineChart>
      <c:catAx>
        <c:axId val="86672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6478365"/>
        <c:crosses val="autoZero"/>
        <c:auto val="1"/>
        <c:lblAlgn val="ctr"/>
        <c:lblOffset val="100"/>
        <c:noMultiLvlLbl val="0"/>
      </c:catAx>
      <c:valAx>
        <c:axId val="6647836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66723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662729062547"/>
          <c:y val="0.164583798259317"/>
          <c:w val="0.853324246554596"/>
          <c:h val="0.638919883954474"/>
        </c:manualLayout>
      </c:layout>
      <c:lineChart>
        <c:grouping val="standard"/>
        <c:varyColors val="0"/>
        <c:ser>
          <c:idx val="0"/>
          <c:order val="0"/>
          <c:tx>
            <c:strRef>
              <c:f>Zipf_Read_90_Ins_10!$F$4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Zipf_Read_90_Ins_10!$F$5:$F$15</c:f>
              <c:numCache>
                <c:formatCode>General</c:formatCode>
                <c:ptCount val="11"/>
                <c:pt idx="0">
                  <c:v>1.934</c:v>
                </c:pt>
                <c:pt idx="1">
                  <c:v>11.37</c:v>
                </c:pt>
                <c:pt idx="2">
                  <c:v>12.438</c:v>
                </c:pt>
                <c:pt idx="3">
                  <c:v>13.102</c:v>
                </c:pt>
                <c:pt idx="4">
                  <c:v>13.64</c:v>
                </c:pt>
                <c:pt idx="5">
                  <c:v>14.103</c:v>
                </c:pt>
                <c:pt idx="6">
                  <c:v>14.548</c:v>
                </c:pt>
                <c:pt idx="7">
                  <c:v>14.97</c:v>
                </c:pt>
                <c:pt idx="8">
                  <c:v>15.452</c:v>
                </c:pt>
                <c:pt idx="9">
                  <c:v>15.921</c:v>
                </c:pt>
                <c:pt idx="10">
                  <c:v>16.437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Zipf_Read_90_Ins_10!$G$5:$G$15</c:f>
              <c:numCache>
                <c:formatCode>General</c:formatCode>
                <c:ptCount val="11"/>
                <c:pt idx="0">
                  <c:v>4.238</c:v>
                </c:pt>
                <c:pt idx="1">
                  <c:v>13.974</c:v>
                </c:pt>
                <c:pt idx="2">
                  <c:v>14.873</c:v>
                </c:pt>
                <c:pt idx="3">
                  <c:v>15.401</c:v>
                </c:pt>
                <c:pt idx="4">
                  <c:v>15.789</c:v>
                </c:pt>
                <c:pt idx="5">
                  <c:v>16.11</c:v>
                </c:pt>
                <c:pt idx="6">
                  <c:v>16.358</c:v>
                </c:pt>
                <c:pt idx="7">
                  <c:v>16.573</c:v>
                </c:pt>
                <c:pt idx="8">
                  <c:v>16.764</c:v>
                </c:pt>
                <c:pt idx="9">
                  <c:v>16.938</c:v>
                </c:pt>
                <c:pt idx="10">
                  <c:v>17.085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Zipf_Read_90_Ins_10!$H$5:$H$15</c:f>
              <c:numCache>
                <c:formatCode>General</c:formatCode>
                <c:ptCount val="11"/>
                <c:pt idx="0">
                  <c:v>3.769</c:v>
                </c:pt>
                <c:pt idx="1">
                  <c:v>13.385</c:v>
                </c:pt>
                <c:pt idx="2">
                  <c:v>14.827</c:v>
                </c:pt>
                <c:pt idx="3">
                  <c:v>15.922</c:v>
                </c:pt>
                <c:pt idx="4">
                  <c:v>17.196</c:v>
                </c:pt>
                <c:pt idx="5">
                  <c:v>18.509</c:v>
                </c:pt>
                <c:pt idx="6">
                  <c:v>19.896</c:v>
                </c:pt>
                <c:pt idx="7">
                  <c:v>21.294</c:v>
                </c:pt>
                <c:pt idx="8">
                  <c:v>22.98</c:v>
                </c:pt>
                <c:pt idx="9">
                  <c:v>24.599</c:v>
                </c:pt>
                <c:pt idx="10">
                  <c:v>27.018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Zipf_Read_90_Ins_10!$I$5:$I$15</c:f>
              <c:numCache>
                <c:formatCode>General</c:formatCode>
                <c:ptCount val="11"/>
                <c:pt idx="0">
                  <c:v>3.398</c:v>
                </c:pt>
                <c:pt idx="1">
                  <c:v>12.979</c:v>
                </c:pt>
                <c:pt idx="2">
                  <c:v>13.86</c:v>
                </c:pt>
                <c:pt idx="3">
                  <c:v>14.385</c:v>
                </c:pt>
                <c:pt idx="4">
                  <c:v>14.758</c:v>
                </c:pt>
                <c:pt idx="5">
                  <c:v>15.06</c:v>
                </c:pt>
                <c:pt idx="6">
                  <c:v>15.31</c:v>
                </c:pt>
                <c:pt idx="7">
                  <c:v>15.518</c:v>
                </c:pt>
                <c:pt idx="8">
                  <c:v>15.699</c:v>
                </c:pt>
                <c:pt idx="9">
                  <c:v>15.86</c:v>
                </c:pt>
                <c:pt idx="10">
                  <c:v>16.005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Zipf_Read_90_Ins_10!$J$5:$J$15</c:f>
              <c:numCache>
                <c:formatCode>General</c:formatCode>
                <c:ptCount val="11"/>
                <c:pt idx="0">
                  <c:v>2.541</c:v>
                </c:pt>
                <c:pt idx="1">
                  <c:v>12.224</c:v>
                </c:pt>
                <c:pt idx="2">
                  <c:v>13.282</c:v>
                </c:pt>
                <c:pt idx="3">
                  <c:v>14.014</c:v>
                </c:pt>
                <c:pt idx="4">
                  <c:v>14.707</c:v>
                </c:pt>
                <c:pt idx="5">
                  <c:v>15.314</c:v>
                </c:pt>
                <c:pt idx="6">
                  <c:v>15.901</c:v>
                </c:pt>
                <c:pt idx="7">
                  <c:v>16.461</c:v>
                </c:pt>
                <c:pt idx="8">
                  <c:v>17.081</c:v>
                </c:pt>
                <c:pt idx="9">
                  <c:v>17.835</c:v>
                </c:pt>
                <c:pt idx="10">
                  <c:v>18.699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Zipf_Read_90_Ins_10!$R$5:$R$15</c:f>
              <c:numCache>
                <c:formatCode>General</c:formatCode>
                <c:ptCount val="11"/>
                <c:pt idx="0">
                  <c:v>2.8374</c:v>
                </c:pt>
                <c:pt idx="1">
                  <c:v>11.4622</c:v>
                </c:pt>
                <c:pt idx="2">
                  <c:v>11.71</c:v>
                </c:pt>
                <c:pt idx="3">
                  <c:v>11.9512</c:v>
                </c:pt>
                <c:pt idx="4">
                  <c:v>12.1987</c:v>
                </c:pt>
                <c:pt idx="5">
                  <c:v>12.4468</c:v>
                </c:pt>
                <c:pt idx="6">
                  <c:v>12.7034</c:v>
                </c:pt>
                <c:pt idx="7">
                  <c:v>12.9607</c:v>
                </c:pt>
                <c:pt idx="8">
                  <c:v>13.2225</c:v>
                </c:pt>
                <c:pt idx="9">
                  <c:v>13.4824</c:v>
                </c:pt>
                <c:pt idx="10">
                  <c:v>13.7396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253723"/>
        <c:axId val="25321636"/>
      </c:lineChart>
      <c:catAx>
        <c:axId val="18253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7737392094503"/>
              <c:y val="0.9011381388083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5321636"/>
        <c:crosses val="autoZero"/>
        <c:auto val="1"/>
        <c:lblAlgn val="ctr"/>
        <c:lblOffset val="100"/>
        <c:noMultiLvlLbl val="0"/>
      </c:catAx>
      <c:valAx>
        <c:axId val="2532163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0.00037861578070574"/>
              <c:y val="0.8485829056014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8253723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101461346255773"/>
          <c:y val="0.0205288407899141"/>
          <c:w val="0.976298652127821"/>
          <c:h val="0.066503012720374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1529745042493"/>
          <c:y val="0.134783492579793"/>
          <c:w val="0.884324834749764"/>
          <c:h val="0.748526123195772"/>
        </c:manualLayout>
      </c:layout>
      <c:scatterChart>
        <c:scatterStyle val="lineMarker"/>
        <c:varyColors val="0"/>
        <c:ser>
          <c:idx val="0"/>
          <c:order val="0"/>
          <c:tx>
            <c:strRef>
              <c:f>Zipf_Read_90_Ins_10!$L$45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Zipf_Read_90_Ins_10!$K$46:$K$60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Zipf_Read_90_Ins_10!$L$46:$L$60</c:f>
              <c:numCache>
                <c:formatCode>General</c:formatCode>
                <c:ptCount val="15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  <c:pt idx="8">
                  <c:v>170</c:v>
                </c:pt>
                <c:pt idx="9">
                  <c:v>190</c:v>
                </c:pt>
                <c:pt idx="10">
                  <c:v>210</c:v>
                </c:pt>
                <c:pt idx="11">
                  <c:v>230</c:v>
                </c:pt>
                <c:pt idx="12">
                  <c:v>250</c:v>
                </c:pt>
                <c:pt idx="13">
                  <c:v>270</c:v>
                </c:pt>
                <c:pt idx="14">
                  <c:v>290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Zipf_Read_90_Ins_10!$M$45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Zipf_Read_90_Ins_10!$K$46:$K$60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Zipf_Read_90_Ins_10!$M$46:$M$60</c:f>
              <c:numCache>
                <c:formatCode>General</c:formatCode>
                <c:ptCount val="15"/>
                <c:pt idx="0">
                  <c:v>201</c:v>
                </c:pt>
                <c:pt idx="1">
                  <c:v>565</c:v>
                </c:pt>
                <c:pt idx="2">
                  <c:v>961</c:v>
                </c:pt>
                <c:pt idx="3">
                  <c:v>345</c:v>
                </c:pt>
                <c:pt idx="4">
                  <c:v>828</c:v>
                </c:pt>
                <c:pt idx="5">
                  <c:v>830</c:v>
                </c:pt>
                <c:pt idx="6">
                  <c:v>700</c:v>
                </c:pt>
                <c:pt idx="7">
                  <c:v>576</c:v>
                </c:pt>
                <c:pt idx="8">
                  <c:v>211</c:v>
                </c:pt>
                <c:pt idx="9">
                  <c:v>759</c:v>
                </c:pt>
                <c:pt idx="10">
                  <c:v>869</c:v>
                </c:pt>
                <c:pt idx="11">
                  <c:v>422</c:v>
                </c:pt>
                <c:pt idx="12">
                  <c:v>564</c:v>
                </c:pt>
                <c:pt idx="13">
                  <c:v>988</c:v>
                </c:pt>
                <c:pt idx="14">
                  <c:v>410</c:v>
                </c:pt>
              </c:numCache>
            </c:numRef>
          </c:yVal>
          <c:smooth val="0"/>
        </c:ser>
        <c:axId val="53713286"/>
        <c:axId val="32716494"/>
      </c:scatterChart>
      <c:valAx>
        <c:axId val="53713286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8424389585863"/>
              <c:y val="0.8753811750355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2716494"/>
        <c:crosses val="autoZero"/>
        <c:crossBetween val="midCat"/>
      </c:valAx>
      <c:valAx>
        <c:axId val="3271649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37132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81513455183112"/>
          <c:y val="0.0204289053765627"/>
          <c:w val="0.412923242951572"/>
          <c:h val="0.08812766822524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Zipf_Read_90_Ins_10!$F$5:$F$15</c:f>
              <c:numCache>
                <c:formatCode>General</c:formatCode>
                <c:ptCount val="11"/>
                <c:pt idx="0">
                  <c:v>1.934</c:v>
                </c:pt>
                <c:pt idx="1">
                  <c:v>11.37</c:v>
                </c:pt>
                <c:pt idx="2">
                  <c:v>12.438</c:v>
                </c:pt>
                <c:pt idx="3">
                  <c:v>13.102</c:v>
                </c:pt>
                <c:pt idx="4">
                  <c:v>13.64</c:v>
                </c:pt>
                <c:pt idx="5">
                  <c:v>14.103</c:v>
                </c:pt>
                <c:pt idx="6">
                  <c:v>14.548</c:v>
                </c:pt>
                <c:pt idx="7">
                  <c:v>14.97</c:v>
                </c:pt>
                <c:pt idx="8">
                  <c:v>15.452</c:v>
                </c:pt>
                <c:pt idx="9">
                  <c:v>15.921</c:v>
                </c:pt>
                <c:pt idx="10">
                  <c:v>16.437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Zipf_Read_90_Ins_10!$G$5:$G$15</c:f>
              <c:numCache>
                <c:formatCode>General</c:formatCode>
                <c:ptCount val="11"/>
                <c:pt idx="0">
                  <c:v>4.238</c:v>
                </c:pt>
                <c:pt idx="1">
                  <c:v>13.974</c:v>
                </c:pt>
                <c:pt idx="2">
                  <c:v>14.873</c:v>
                </c:pt>
                <c:pt idx="3">
                  <c:v>15.401</c:v>
                </c:pt>
                <c:pt idx="4">
                  <c:v>15.789</c:v>
                </c:pt>
                <c:pt idx="5">
                  <c:v>16.11</c:v>
                </c:pt>
                <c:pt idx="6">
                  <c:v>16.358</c:v>
                </c:pt>
                <c:pt idx="7">
                  <c:v>16.573</c:v>
                </c:pt>
                <c:pt idx="8">
                  <c:v>16.764</c:v>
                </c:pt>
                <c:pt idx="9">
                  <c:v>16.938</c:v>
                </c:pt>
                <c:pt idx="10">
                  <c:v>17.085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Zipf_Read_90_Ins_10!$H$5:$H$15</c:f>
              <c:numCache>
                <c:formatCode>General</c:formatCode>
                <c:ptCount val="11"/>
                <c:pt idx="0">
                  <c:v>3.769</c:v>
                </c:pt>
                <c:pt idx="1">
                  <c:v>13.385</c:v>
                </c:pt>
                <c:pt idx="2">
                  <c:v>14.827</c:v>
                </c:pt>
                <c:pt idx="3">
                  <c:v>15.922</c:v>
                </c:pt>
                <c:pt idx="4">
                  <c:v>17.196</c:v>
                </c:pt>
                <c:pt idx="5">
                  <c:v>18.509</c:v>
                </c:pt>
                <c:pt idx="6">
                  <c:v>19.896</c:v>
                </c:pt>
                <c:pt idx="7">
                  <c:v>21.294</c:v>
                </c:pt>
                <c:pt idx="8">
                  <c:v>22.98</c:v>
                </c:pt>
                <c:pt idx="9">
                  <c:v>24.599</c:v>
                </c:pt>
                <c:pt idx="10">
                  <c:v>27.018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Zipf_Read_90_Ins_10!$I$5:$I$15</c:f>
              <c:numCache>
                <c:formatCode>General</c:formatCode>
                <c:ptCount val="11"/>
                <c:pt idx="0">
                  <c:v>3.398</c:v>
                </c:pt>
                <c:pt idx="1">
                  <c:v>12.979</c:v>
                </c:pt>
                <c:pt idx="2">
                  <c:v>13.86</c:v>
                </c:pt>
                <c:pt idx="3">
                  <c:v>14.385</c:v>
                </c:pt>
                <c:pt idx="4">
                  <c:v>14.758</c:v>
                </c:pt>
                <c:pt idx="5">
                  <c:v>15.06</c:v>
                </c:pt>
                <c:pt idx="6">
                  <c:v>15.31</c:v>
                </c:pt>
                <c:pt idx="7">
                  <c:v>15.518</c:v>
                </c:pt>
                <c:pt idx="8">
                  <c:v>15.699</c:v>
                </c:pt>
                <c:pt idx="9">
                  <c:v>15.86</c:v>
                </c:pt>
                <c:pt idx="10">
                  <c:v>16.005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Zipf_Read_90_Ins_10!$J$5:$J$15</c:f>
              <c:numCache>
                <c:formatCode>General</c:formatCode>
                <c:ptCount val="11"/>
                <c:pt idx="0">
                  <c:v>2.541</c:v>
                </c:pt>
                <c:pt idx="1">
                  <c:v>12.224</c:v>
                </c:pt>
                <c:pt idx="2">
                  <c:v>13.282</c:v>
                </c:pt>
                <c:pt idx="3">
                  <c:v>14.014</c:v>
                </c:pt>
                <c:pt idx="4">
                  <c:v>14.707</c:v>
                </c:pt>
                <c:pt idx="5">
                  <c:v>15.314</c:v>
                </c:pt>
                <c:pt idx="6">
                  <c:v>15.901</c:v>
                </c:pt>
                <c:pt idx="7">
                  <c:v>16.461</c:v>
                </c:pt>
                <c:pt idx="8">
                  <c:v>17.081</c:v>
                </c:pt>
                <c:pt idx="9">
                  <c:v>17.835</c:v>
                </c:pt>
                <c:pt idx="10">
                  <c:v>18.699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Zipf_Read_90_Ins_10!$K$4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Zipf_Read_90_Ins_10!$K$5:$K$15</c:f>
              <c:numCache>
                <c:formatCode>General</c:formatCode>
                <c:ptCount val="11"/>
                <c:pt idx="0">
                  <c:v>2.571</c:v>
                </c:pt>
                <c:pt idx="1">
                  <c:v>18.765</c:v>
                </c:pt>
                <c:pt idx="2">
                  <c:v>20.325</c:v>
                </c:pt>
                <c:pt idx="3">
                  <c:v>21.259</c:v>
                </c:pt>
                <c:pt idx="4">
                  <c:v>21.989</c:v>
                </c:pt>
                <c:pt idx="5">
                  <c:v>22.608</c:v>
                </c:pt>
                <c:pt idx="6">
                  <c:v>23.162</c:v>
                </c:pt>
                <c:pt idx="7">
                  <c:v>23.709</c:v>
                </c:pt>
                <c:pt idx="8">
                  <c:v>24.256</c:v>
                </c:pt>
                <c:pt idx="9">
                  <c:v>24.784</c:v>
                </c:pt>
                <c:pt idx="10">
                  <c:v>25.387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Zipf_Read_90_Ins_10!$P$4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Zipf_Read_90_Ins_10!$P$5:$P$15</c:f>
              <c:numCache>
                <c:formatCode>General</c:formatCode>
                <c:ptCount val="11"/>
                <c:pt idx="0">
                  <c:v>2.965</c:v>
                </c:pt>
                <c:pt idx="1">
                  <c:v>12.976</c:v>
                </c:pt>
                <c:pt idx="2">
                  <c:v>13.89</c:v>
                </c:pt>
                <c:pt idx="3">
                  <c:v>14.377</c:v>
                </c:pt>
                <c:pt idx="4">
                  <c:v>14.814</c:v>
                </c:pt>
                <c:pt idx="5">
                  <c:v>15.145</c:v>
                </c:pt>
                <c:pt idx="6">
                  <c:v>15.44</c:v>
                </c:pt>
                <c:pt idx="7">
                  <c:v>15.69</c:v>
                </c:pt>
                <c:pt idx="8">
                  <c:v>15.916</c:v>
                </c:pt>
                <c:pt idx="9">
                  <c:v>16.122</c:v>
                </c:pt>
                <c:pt idx="10">
                  <c:v>16.316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Zipf_Read_90_Ins_10!$Q$4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Zipf_Read_90_Ins_10!$Q$5:$Q$15</c:f>
              <c:numCache>
                <c:formatCode>General</c:formatCode>
                <c:ptCount val="11"/>
                <c:pt idx="0">
                  <c:v>2.914</c:v>
                </c:pt>
                <c:pt idx="1">
                  <c:v>27.213</c:v>
                </c:pt>
                <c:pt idx="2">
                  <c:v>27.233</c:v>
                </c:pt>
                <c:pt idx="3">
                  <c:v>27.238</c:v>
                </c:pt>
                <c:pt idx="4">
                  <c:v>27.244</c:v>
                </c:pt>
                <c:pt idx="5">
                  <c:v>27.249</c:v>
                </c:pt>
                <c:pt idx="6">
                  <c:v>27.254</c:v>
                </c:pt>
                <c:pt idx="7">
                  <c:v>27.259</c:v>
                </c:pt>
                <c:pt idx="8">
                  <c:v>27.263</c:v>
                </c:pt>
                <c:pt idx="9">
                  <c:v>27.269</c:v>
                </c:pt>
                <c:pt idx="10">
                  <c:v>27.274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Zipf_Read_90_Ins_10!$R$5:$R$15</c:f>
              <c:numCache>
                <c:formatCode>General</c:formatCode>
                <c:ptCount val="11"/>
                <c:pt idx="0">
                  <c:v>2.8374</c:v>
                </c:pt>
                <c:pt idx="1">
                  <c:v>11.4622</c:v>
                </c:pt>
                <c:pt idx="2">
                  <c:v>11.71</c:v>
                </c:pt>
                <c:pt idx="3">
                  <c:v>11.9512</c:v>
                </c:pt>
                <c:pt idx="4">
                  <c:v>12.1987</c:v>
                </c:pt>
                <c:pt idx="5">
                  <c:v>12.4468</c:v>
                </c:pt>
                <c:pt idx="6">
                  <c:v>12.7034</c:v>
                </c:pt>
                <c:pt idx="7">
                  <c:v>12.9607</c:v>
                </c:pt>
                <c:pt idx="8">
                  <c:v>13.2225</c:v>
                </c:pt>
                <c:pt idx="9">
                  <c:v>13.4824</c:v>
                </c:pt>
                <c:pt idx="10">
                  <c:v>13.7396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319120"/>
        <c:axId val="96715464"/>
      </c:lineChart>
      <c:catAx>
        <c:axId val="16319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6715464"/>
        <c:crosses val="autoZero"/>
        <c:auto val="1"/>
        <c:lblAlgn val="ctr"/>
        <c:lblOffset val="100"/>
        <c:noMultiLvlLbl val="0"/>
      </c:catAx>
      <c:valAx>
        <c:axId val="967154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631912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9711213901738"/>
          <c:y val="0.0595687930651256"/>
          <c:w val="0.798287285910739"/>
          <c:h val="0.678261835963548"/>
        </c:manualLayout>
      </c:layout>
      <c:lineChart>
        <c:grouping val="standard"/>
        <c:varyColors val="0"/>
        <c:ser>
          <c:idx val="0"/>
          <c:order val="0"/>
          <c:tx>
            <c:strRef>
              <c:f>Zipf_Read_90_Ins_10!$F$4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Zipf_Read_90_Ins_10!$F$5:$F$15</c:f>
              <c:numCache>
                <c:formatCode>General</c:formatCode>
                <c:ptCount val="11"/>
                <c:pt idx="0">
                  <c:v>1.934</c:v>
                </c:pt>
                <c:pt idx="1">
                  <c:v>11.37</c:v>
                </c:pt>
                <c:pt idx="2">
                  <c:v>12.438</c:v>
                </c:pt>
                <c:pt idx="3">
                  <c:v>13.102</c:v>
                </c:pt>
                <c:pt idx="4">
                  <c:v>13.64</c:v>
                </c:pt>
                <c:pt idx="5">
                  <c:v>14.103</c:v>
                </c:pt>
                <c:pt idx="6">
                  <c:v>14.548</c:v>
                </c:pt>
                <c:pt idx="7">
                  <c:v>14.97</c:v>
                </c:pt>
                <c:pt idx="8">
                  <c:v>15.452</c:v>
                </c:pt>
                <c:pt idx="9">
                  <c:v>15.921</c:v>
                </c:pt>
                <c:pt idx="10">
                  <c:v>16.437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Zipf_Read_90_Ins_10!$G$4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Zipf_Read_90_Ins_10!$G$5:$G$15</c:f>
              <c:numCache>
                <c:formatCode>General</c:formatCode>
                <c:ptCount val="11"/>
                <c:pt idx="0">
                  <c:v>4.238</c:v>
                </c:pt>
                <c:pt idx="1">
                  <c:v>13.974</c:v>
                </c:pt>
                <c:pt idx="2">
                  <c:v>14.873</c:v>
                </c:pt>
                <c:pt idx="3">
                  <c:v>15.401</c:v>
                </c:pt>
                <c:pt idx="4">
                  <c:v>15.789</c:v>
                </c:pt>
                <c:pt idx="5">
                  <c:v>16.11</c:v>
                </c:pt>
                <c:pt idx="6">
                  <c:v>16.358</c:v>
                </c:pt>
                <c:pt idx="7">
                  <c:v>16.573</c:v>
                </c:pt>
                <c:pt idx="8">
                  <c:v>16.764</c:v>
                </c:pt>
                <c:pt idx="9">
                  <c:v>16.938</c:v>
                </c:pt>
                <c:pt idx="10">
                  <c:v>17.085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Zipf_Read_90_Ins_10!$H$4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Zipf_Read_90_Ins_10!$H$5:$H$15</c:f>
              <c:numCache>
                <c:formatCode>General</c:formatCode>
                <c:ptCount val="11"/>
                <c:pt idx="0">
                  <c:v>3.769</c:v>
                </c:pt>
                <c:pt idx="1">
                  <c:v>13.385</c:v>
                </c:pt>
                <c:pt idx="2">
                  <c:v>14.827</c:v>
                </c:pt>
                <c:pt idx="3">
                  <c:v>15.922</c:v>
                </c:pt>
                <c:pt idx="4">
                  <c:v>17.196</c:v>
                </c:pt>
                <c:pt idx="5">
                  <c:v>18.509</c:v>
                </c:pt>
                <c:pt idx="6">
                  <c:v>19.896</c:v>
                </c:pt>
                <c:pt idx="7">
                  <c:v>21.294</c:v>
                </c:pt>
                <c:pt idx="8">
                  <c:v>22.98</c:v>
                </c:pt>
                <c:pt idx="9">
                  <c:v>24.599</c:v>
                </c:pt>
                <c:pt idx="10">
                  <c:v>27.018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Zipf_Read_90_Ins_10!$I$4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Zipf_Read_90_Ins_10!$I$5:$I$15</c:f>
              <c:numCache>
                <c:formatCode>General</c:formatCode>
                <c:ptCount val="11"/>
                <c:pt idx="0">
                  <c:v>3.398</c:v>
                </c:pt>
                <c:pt idx="1">
                  <c:v>12.979</c:v>
                </c:pt>
                <c:pt idx="2">
                  <c:v>13.86</c:v>
                </c:pt>
                <c:pt idx="3">
                  <c:v>14.385</c:v>
                </c:pt>
                <c:pt idx="4">
                  <c:v>14.758</c:v>
                </c:pt>
                <c:pt idx="5">
                  <c:v>15.06</c:v>
                </c:pt>
                <c:pt idx="6">
                  <c:v>15.31</c:v>
                </c:pt>
                <c:pt idx="7">
                  <c:v>15.518</c:v>
                </c:pt>
                <c:pt idx="8">
                  <c:v>15.699</c:v>
                </c:pt>
                <c:pt idx="9">
                  <c:v>15.86</c:v>
                </c:pt>
                <c:pt idx="10">
                  <c:v>16.005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Zipf_Read_90_Ins_10!$J$4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Zipf_Read_90_Ins_10!$J$5:$J$15</c:f>
              <c:numCache>
                <c:formatCode>General</c:formatCode>
                <c:ptCount val="11"/>
                <c:pt idx="0">
                  <c:v>2.541</c:v>
                </c:pt>
                <c:pt idx="1">
                  <c:v>12.224</c:v>
                </c:pt>
                <c:pt idx="2">
                  <c:v>13.282</c:v>
                </c:pt>
                <c:pt idx="3">
                  <c:v>14.014</c:v>
                </c:pt>
                <c:pt idx="4">
                  <c:v>14.707</c:v>
                </c:pt>
                <c:pt idx="5">
                  <c:v>15.314</c:v>
                </c:pt>
                <c:pt idx="6">
                  <c:v>15.901</c:v>
                </c:pt>
                <c:pt idx="7">
                  <c:v>16.461</c:v>
                </c:pt>
                <c:pt idx="8">
                  <c:v>17.081</c:v>
                </c:pt>
                <c:pt idx="9">
                  <c:v>17.835</c:v>
                </c:pt>
                <c:pt idx="10">
                  <c:v>18.699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Zipf_Read_90_Ins_10!$K$4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Zipf_Read_90_Ins_10!$K$5:$K$15</c:f>
              <c:numCache>
                <c:formatCode>General</c:formatCode>
                <c:ptCount val="11"/>
                <c:pt idx="0">
                  <c:v>2.571</c:v>
                </c:pt>
                <c:pt idx="1">
                  <c:v>18.765</c:v>
                </c:pt>
                <c:pt idx="2">
                  <c:v>20.325</c:v>
                </c:pt>
                <c:pt idx="3">
                  <c:v>21.259</c:v>
                </c:pt>
                <c:pt idx="4">
                  <c:v>21.989</c:v>
                </c:pt>
                <c:pt idx="5">
                  <c:v>22.608</c:v>
                </c:pt>
                <c:pt idx="6">
                  <c:v>23.162</c:v>
                </c:pt>
                <c:pt idx="7">
                  <c:v>23.709</c:v>
                </c:pt>
                <c:pt idx="8">
                  <c:v>24.256</c:v>
                </c:pt>
                <c:pt idx="9">
                  <c:v>24.784</c:v>
                </c:pt>
                <c:pt idx="10">
                  <c:v>25.387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Zipf_Read_90_Ins_10!$P$4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Zipf_Read_90_Ins_10!$P$5:$P$15</c:f>
              <c:numCache>
                <c:formatCode>General</c:formatCode>
                <c:ptCount val="11"/>
                <c:pt idx="0">
                  <c:v>2.965</c:v>
                </c:pt>
                <c:pt idx="1">
                  <c:v>12.976</c:v>
                </c:pt>
                <c:pt idx="2">
                  <c:v>13.89</c:v>
                </c:pt>
                <c:pt idx="3">
                  <c:v>14.377</c:v>
                </c:pt>
                <c:pt idx="4">
                  <c:v>14.814</c:v>
                </c:pt>
                <c:pt idx="5">
                  <c:v>15.145</c:v>
                </c:pt>
                <c:pt idx="6">
                  <c:v>15.44</c:v>
                </c:pt>
                <c:pt idx="7">
                  <c:v>15.69</c:v>
                </c:pt>
                <c:pt idx="8">
                  <c:v>15.916</c:v>
                </c:pt>
                <c:pt idx="9">
                  <c:v>16.122</c:v>
                </c:pt>
                <c:pt idx="10">
                  <c:v>16.316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Zipf_Read_90_Ins_10!$Q$4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Zipf_Read_90_Ins_10!$Q$5:$Q$15</c:f>
              <c:numCache>
                <c:formatCode>General</c:formatCode>
                <c:ptCount val="11"/>
                <c:pt idx="0">
                  <c:v>2.914</c:v>
                </c:pt>
                <c:pt idx="1">
                  <c:v>27.213</c:v>
                </c:pt>
                <c:pt idx="2">
                  <c:v>27.233</c:v>
                </c:pt>
                <c:pt idx="3">
                  <c:v>27.238</c:v>
                </c:pt>
                <c:pt idx="4">
                  <c:v>27.244</c:v>
                </c:pt>
                <c:pt idx="5">
                  <c:v>27.249</c:v>
                </c:pt>
                <c:pt idx="6">
                  <c:v>27.254</c:v>
                </c:pt>
                <c:pt idx="7">
                  <c:v>27.259</c:v>
                </c:pt>
                <c:pt idx="8">
                  <c:v>27.263</c:v>
                </c:pt>
                <c:pt idx="9">
                  <c:v>27.269</c:v>
                </c:pt>
                <c:pt idx="10">
                  <c:v>27.274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Zipf_Read_90_Ins_10!$R$4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Zipf_Read_90_Ins_10!$C$5:$C$15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Zipf_Read_90_Ins_10!$R$5:$R$15</c:f>
              <c:numCache>
                <c:formatCode>General</c:formatCode>
                <c:ptCount val="11"/>
                <c:pt idx="0">
                  <c:v>2.8374</c:v>
                </c:pt>
                <c:pt idx="1">
                  <c:v>11.4622</c:v>
                </c:pt>
                <c:pt idx="2">
                  <c:v>11.71</c:v>
                </c:pt>
                <c:pt idx="3">
                  <c:v>11.9512</c:v>
                </c:pt>
                <c:pt idx="4">
                  <c:v>12.1987</c:v>
                </c:pt>
                <c:pt idx="5">
                  <c:v>12.4468</c:v>
                </c:pt>
                <c:pt idx="6">
                  <c:v>12.7034</c:v>
                </c:pt>
                <c:pt idx="7">
                  <c:v>12.9607</c:v>
                </c:pt>
                <c:pt idx="8">
                  <c:v>13.2225</c:v>
                </c:pt>
                <c:pt idx="9">
                  <c:v>13.4824</c:v>
                </c:pt>
                <c:pt idx="10">
                  <c:v>13.7396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848813"/>
        <c:axId val="49699758"/>
      </c:lineChart>
      <c:catAx>
        <c:axId val="71848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9873734216777"/>
              <c:y val="0.877861747054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9699758"/>
        <c:crossesAt val="0"/>
        <c:auto val="1"/>
        <c:lblAlgn val="ctr"/>
        <c:lblOffset val="100"/>
        <c:noMultiLvlLbl val="0"/>
      </c:catAx>
      <c:valAx>
        <c:axId val="496997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layout>
            <c:manualLayout>
              <c:xMode val="edge"/>
              <c:yMode val="edge"/>
              <c:x val="0"/>
              <c:y val="0.1010224494332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184881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Zipf_Read_80_Ins_20!$E$4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Zipf_Read_80_Ins_20!$E$5:$E$15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1"/>
          <c:order val="1"/>
          <c:tx>
            <c:strRef>
              <c:f>Zipf_Read_80_Ins_20!$F$4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Zipf_Read_80_Ins_20!$F$5:$F$15</c:f>
              <c:numCache>
                <c:formatCode>General</c:formatCode>
                <c:ptCount val="11"/>
                <c:pt idx="0">
                  <c:v>2.269</c:v>
                </c:pt>
                <c:pt idx="1">
                  <c:v>10.656</c:v>
                </c:pt>
                <c:pt idx="2">
                  <c:v>11.597</c:v>
                </c:pt>
                <c:pt idx="3">
                  <c:v>12.184</c:v>
                </c:pt>
                <c:pt idx="4">
                  <c:v>12.675</c:v>
                </c:pt>
                <c:pt idx="5">
                  <c:v>13.096</c:v>
                </c:pt>
                <c:pt idx="6">
                  <c:v>13.508</c:v>
                </c:pt>
                <c:pt idx="7">
                  <c:v>13.939</c:v>
                </c:pt>
                <c:pt idx="8">
                  <c:v>14.425</c:v>
                </c:pt>
                <c:pt idx="9">
                  <c:v>14.907</c:v>
                </c:pt>
                <c:pt idx="10">
                  <c:v>15.461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Zipf_Read_80_Ins_20!$G$5:$G$15</c:f>
              <c:numCache>
                <c:formatCode>General</c:formatCode>
                <c:ptCount val="11"/>
                <c:pt idx="0">
                  <c:v>4.777</c:v>
                </c:pt>
                <c:pt idx="1">
                  <c:v>13.724</c:v>
                </c:pt>
                <c:pt idx="2">
                  <c:v>14.629</c:v>
                </c:pt>
                <c:pt idx="3">
                  <c:v>15.151</c:v>
                </c:pt>
                <c:pt idx="4">
                  <c:v>15.533</c:v>
                </c:pt>
                <c:pt idx="5">
                  <c:v>15.827</c:v>
                </c:pt>
                <c:pt idx="6">
                  <c:v>16.088</c:v>
                </c:pt>
                <c:pt idx="7">
                  <c:v>16.307</c:v>
                </c:pt>
                <c:pt idx="8">
                  <c:v>16.495</c:v>
                </c:pt>
                <c:pt idx="9">
                  <c:v>16.674</c:v>
                </c:pt>
                <c:pt idx="10">
                  <c:v>16.827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Zipf_Read_80_Ins_20!$H$5:$H$15</c:f>
              <c:numCache>
                <c:formatCode>General</c:formatCode>
                <c:ptCount val="11"/>
                <c:pt idx="0">
                  <c:v>3.635</c:v>
                </c:pt>
                <c:pt idx="1">
                  <c:v>12.532</c:v>
                </c:pt>
                <c:pt idx="2">
                  <c:v>13.88</c:v>
                </c:pt>
                <c:pt idx="3">
                  <c:v>15.088</c:v>
                </c:pt>
                <c:pt idx="4">
                  <c:v>16.663</c:v>
                </c:pt>
                <c:pt idx="5">
                  <c:v>18.388</c:v>
                </c:pt>
                <c:pt idx="6">
                  <c:v>20.408</c:v>
                </c:pt>
                <c:pt idx="7">
                  <c:v>23.025</c:v>
                </c:pt>
                <c:pt idx="8">
                  <c:v>26.051</c:v>
                </c:pt>
                <c:pt idx="9">
                  <c:v>29.072</c:v>
                </c:pt>
                <c:pt idx="10">
                  <c:v>32.893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Zipf_Read_80_Ins_20!$I$5:$I$15</c:f>
              <c:numCache>
                <c:formatCode>General</c:formatCode>
                <c:ptCount val="11"/>
                <c:pt idx="0">
                  <c:v>3.558</c:v>
                </c:pt>
                <c:pt idx="1">
                  <c:v>12.305</c:v>
                </c:pt>
                <c:pt idx="2">
                  <c:v>13.167</c:v>
                </c:pt>
                <c:pt idx="3">
                  <c:v>13.676</c:v>
                </c:pt>
                <c:pt idx="4">
                  <c:v>14.049</c:v>
                </c:pt>
                <c:pt idx="5">
                  <c:v>14.332</c:v>
                </c:pt>
                <c:pt idx="6">
                  <c:v>14.578</c:v>
                </c:pt>
                <c:pt idx="7">
                  <c:v>14.776</c:v>
                </c:pt>
                <c:pt idx="8">
                  <c:v>14.955</c:v>
                </c:pt>
                <c:pt idx="9">
                  <c:v>15.118</c:v>
                </c:pt>
                <c:pt idx="10">
                  <c:v>15.262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Zipf_Read_80_Ins_20!$J$5:$J$15</c:f>
              <c:numCache>
                <c:formatCode>General</c:formatCode>
                <c:ptCount val="11"/>
                <c:pt idx="0">
                  <c:v>2.484</c:v>
                </c:pt>
                <c:pt idx="1">
                  <c:v>12.29</c:v>
                </c:pt>
                <c:pt idx="2">
                  <c:v>13.38</c:v>
                </c:pt>
                <c:pt idx="3">
                  <c:v>14.159</c:v>
                </c:pt>
                <c:pt idx="4">
                  <c:v>14.93</c:v>
                </c:pt>
                <c:pt idx="5">
                  <c:v>15.613</c:v>
                </c:pt>
                <c:pt idx="6">
                  <c:v>16.371</c:v>
                </c:pt>
                <c:pt idx="7">
                  <c:v>17.269</c:v>
                </c:pt>
                <c:pt idx="8">
                  <c:v>18.355</c:v>
                </c:pt>
                <c:pt idx="9">
                  <c:v>19.401</c:v>
                </c:pt>
                <c:pt idx="10">
                  <c:v>20.584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Zipf_Read_80_Ins_20!$R$5:$R$15</c:f>
              <c:numCache>
                <c:formatCode>General</c:formatCode>
                <c:ptCount val="11"/>
                <c:pt idx="0">
                  <c:v>4.11332</c:v>
                </c:pt>
                <c:pt idx="1">
                  <c:v>11.3535</c:v>
                </c:pt>
                <c:pt idx="2">
                  <c:v>11.4994</c:v>
                </c:pt>
                <c:pt idx="3">
                  <c:v>11.6515</c:v>
                </c:pt>
                <c:pt idx="4">
                  <c:v>11.8024</c:v>
                </c:pt>
                <c:pt idx="5">
                  <c:v>11.9614</c:v>
                </c:pt>
                <c:pt idx="6">
                  <c:v>12.1296</c:v>
                </c:pt>
                <c:pt idx="7">
                  <c:v>12.3099</c:v>
                </c:pt>
                <c:pt idx="8">
                  <c:v>12.4974</c:v>
                </c:pt>
                <c:pt idx="9">
                  <c:v>14.8831</c:v>
                </c:pt>
                <c:pt idx="10">
                  <c:v>17.1977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247962"/>
        <c:axId val="19823084"/>
      </c:lineChart>
      <c:catAx>
        <c:axId val="28247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9823084"/>
        <c:crosses val="autoZero"/>
        <c:auto val="1"/>
        <c:lblAlgn val="ctr"/>
        <c:lblOffset val="100"/>
        <c:noMultiLvlLbl val="0"/>
      </c:catAx>
      <c:valAx>
        <c:axId val="19823084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82479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Zipf_Read_80_Ins_20!$F$5:$F$15</c:f>
              <c:numCache>
                <c:formatCode>General</c:formatCode>
                <c:ptCount val="11"/>
                <c:pt idx="0">
                  <c:v>2.269</c:v>
                </c:pt>
                <c:pt idx="1">
                  <c:v>10.656</c:v>
                </c:pt>
                <c:pt idx="2">
                  <c:v>11.597</c:v>
                </c:pt>
                <c:pt idx="3">
                  <c:v>12.184</c:v>
                </c:pt>
                <c:pt idx="4">
                  <c:v>12.675</c:v>
                </c:pt>
                <c:pt idx="5">
                  <c:v>13.096</c:v>
                </c:pt>
                <c:pt idx="6">
                  <c:v>13.508</c:v>
                </c:pt>
                <c:pt idx="7">
                  <c:v>13.939</c:v>
                </c:pt>
                <c:pt idx="8">
                  <c:v>14.425</c:v>
                </c:pt>
                <c:pt idx="9">
                  <c:v>14.907</c:v>
                </c:pt>
                <c:pt idx="10">
                  <c:v>15.461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Zipf_Read_80_Ins_20!$G$5:$G$15</c:f>
              <c:numCache>
                <c:formatCode>General</c:formatCode>
                <c:ptCount val="11"/>
                <c:pt idx="0">
                  <c:v>4.777</c:v>
                </c:pt>
                <c:pt idx="1">
                  <c:v>13.724</c:v>
                </c:pt>
                <c:pt idx="2">
                  <c:v>14.629</c:v>
                </c:pt>
                <c:pt idx="3">
                  <c:v>15.151</c:v>
                </c:pt>
                <c:pt idx="4">
                  <c:v>15.533</c:v>
                </c:pt>
                <c:pt idx="5">
                  <c:v>15.827</c:v>
                </c:pt>
                <c:pt idx="6">
                  <c:v>16.088</c:v>
                </c:pt>
                <c:pt idx="7">
                  <c:v>16.307</c:v>
                </c:pt>
                <c:pt idx="8">
                  <c:v>16.495</c:v>
                </c:pt>
                <c:pt idx="9">
                  <c:v>16.674</c:v>
                </c:pt>
                <c:pt idx="10">
                  <c:v>16.827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Zipf_Read_80_Ins_20!$H$5:$H$15</c:f>
              <c:numCache>
                <c:formatCode>General</c:formatCode>
                <c:ptCount val="11"/>
                <c:pt idx="0">
                  <c:v>3.635</c:v>
                </c:pt>
                <c:pt idx="1">
                  <c:v>12.532</c:v>
                </c:pt>
                <c:pt idx="2">
                  <c:v>13.88</c:v>
                </c:pt>
                <c:pt idx="3">
                  <c:v>15.088</c:v>
                </c:pt>
                <c:pt idx="4">
                  <c:v>16.663</c:v>
                </c:pt>
                <c:pt idx="5">
                  <c:v>18.388</c:v>
                </c:pt>
                <c:pt idx="6">
                  <c:v>20.408</c:v>
                </c:pt>
                <c:pt idx="7">
                  <c:v>23.025</c:v>
                </c:pt>
                <c:pt idx="8">
                  <c:v>26.051</c:v>
                </c:pt>
                <c:pt idx="9">
                  <c:v>29.072</c:v>
                </c:pt>
                <c:pt idx="10">
                  <c:v>32.893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Zipf_Read_80_Ins_20!$I$5:$I$15</c:f>
              <c:numCache>
                <c:formatCode>General</c:formatCode>
                <c:ptCount val="11"/>
                <c:pt idx="0">
                  <c:v>3.558</c:v>
                </c:pt>
                <c:pt idx="1">
                  <c:v>12.305</c:v>
                </c:pt>
                <c:pt idx="2">
                  <c:v>13.167</c:v>
                </c:pt>
                <c:pt idx="3">
                  <c:v>13.676</c:v>
                </c:pt>
                <c:pt idx="4">
                  <c:v>14.049</c:v>
                </c:pt>
                <c:pt idx="5">
                  <c:v>14.332</c:v>
                </c:pt>
                <c:pt idx="6">
                  <c:v>14.578</c:v>
                </c:pt>
                <c:pt idx="7">
                  <c:v>14.776</c:v>
                </c:pt>
                <c:pt idx="8">
                  <c:v>14.955</c:v>
                </c:pt>
                <c:pt idx="9">
                  <c:v>15.118</c:v>
                </c:pt>
                <c:pt idx="10">
                  <c:v>15.262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Zipf_Read_80_Ins_20!$J$5:$J$15</c:f>
              <c:numCache>
                <c:formatCode>General</c:formatCode>
                <c:ptCount val="11"/>
                <c:pt idx="0">
                  <c:v>2.484</c:v>
                </c:pt>
                <c:pt idx="1">
                  <c:v>12.29</c:v>
                </c:pt>
                <c:pt idx="2">
                  <c:v>13.38</c:v>
                </c:pt>
                <c:pt idx="3">
                  <c:v>14.159</c:v>
                </c:pt>
                <c:pt idx="4">
                  <c:v>14.93</c:v>
                </c:pt>
                <c:pt idx="5">
                  <c:v>15.613</c:v>
                </c:pt>
                <c:pt idx="6">
                  <c:v>16.371</c:v>
                </c:pt>
                <c:pt idx="7">
                  <c:v>17.269</c:v>
                </c:pt>
                <c:pt idx="8">
                  <c:v>18.355</c:v>
                </c:pt>
                <c:pt idx="9">
                  <c:v>19.401</c:v>
                </c:pt>
                <c:pt idx="10">
                  <c:v>20.584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Zipf_Read_80_Ins_20!$R$5:$R$15</c:f>
              <c:numCache>
                <c:formatCode>General</c:formatCode>
                <c:ptCount val="11"/>
                <c:pt idx="0">
                  <c:v>4.11332</c:v>
                </c:pt>
                <c:pt idx="1">
                  <c:v>11.3535</c:v>
                </c:pt>
                <c:pt idx="2">
                  <c:v>11.4994</c:v>
                </c:pt>
                <c:pt idx="3">
                  <c:v>11.6515</c:v>
                </c:pt>
                <c:pt idx="4">
                  <c:v>11.8024</c:v>
                </c:pt>
                <c:pt idx="5">
                  <c:v>11.9614</c:v>
                </c:pt>
                <c:pt idx="6">
                  <c:v>12.1296</c:v>
                </c:pt>
                <c:pt idx="7">
                  <c:v>12.3099</c:v>
                </c:pt>
                <c:pt idx="8">
                  <c:v>12.4974</c:v>
                </c:pt>
                <c:pt idx="9">
                  <c:v>14.8831</c:v>
                </c:pt>
                <c:pt idx="10">
                  <c:v>17.1977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038543"/>
        <c:axId val="80366363"/>
      </c:lineChart>
      <c:catAx>
        <c:axId val="530385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0366363"/>
        <c:crosses val="autoZero"/>
        <c:auto val="1"/>
        <c:lblAlgn val="ctr"/>
        <c:lblOffset val="100"/>
        <c:noMultiLvlLbl val="0"/>
      </c:catAx>
      <c:valAx>
        <c:axId val="8036636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30385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23170156891792"/>
          <c:y val="0.160280516312633"/>
          <c:w val="0.887212982290755"/>
          <c:h val="0.703933326557577"/>
        </c:manualLayout>
      </c:layout>
      <c:scatterChart>
        <c:scatterStyle val="lineMarker"/>
        <c:varyColors val="0"/>
        <c:ser>
          <c:idx val="0"/>
          <c:order val="0"/>
          <c:tx>
            <c:strRef>
              <c:f>Zipf_Read_80_Ins_20!$H$47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Zipf_Read_80_Ins_20!$G$48:$G$62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Zipf_Read_80_Ins_20!$H$48:$H$62</c:f>
              <c:numCache>
                <c:formatCode>General</c:formatCode>
                <c:ptCount val="15"/>
                <c:pt idx="0">
                  <c:v>281</c:v>
                </c:pt>
                <c:pt idx="1">
                  <c:v>30</c:v>
                </c:pt>
                <c:pt idx="2">
                  <c:v>344</c:v>
                </c:pt>
                <c:pt idx="3">
                  <c:v>70</c:v>
                </c:pt>
                <c:pt idx="4">
                  <c:v>675</c:v>
                </c:pt>
                <c:pt idx="5">
                  <c:v>110</c:v>
                </c:pt>
                <c:pt idx="6">
                  <c:v>245</c:v>
                </c:pt>
                <c:pt idx="7">
                  <c:v>150</c:v>
                </c:pt>
                <c:pt idx="8">
                  <c:v>59</c:v>
                </c:pt>
                <c:pt idx="9">
                  <c:v>190</c:v>
                </c:pt>
                <c:pt idx="10">
                  <c:v>431</c:v>
                </c:pt>
                <c:pt idx="11">
                  <c:v>230</c:v>
                </c:pt>
                <c:pt idx="12">
                  <c:v>16</c:v>
                </c:pt>
                <c:pt idx="13">
                  <c:v>270</c:v>
                </c:pt>
                <c:pt idx="14">
                  <c:v>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Zipf_Read_80_Ins_20!$I$47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Zipf_Read_80_Ins_20!$G$48:$G$62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Zipf_Read_80_Ins_20!$I$48:$I$62</c:f>
              <c:numCache>
                <c:formatCode>General</c:formatCode>
                <c:ptCount val="15"/>
                <c:pt idx="0">
                  <c:v>387</c:v>
                </c:pt>
                <c:pt idx="1">
                  <c:v>602</c:v>
                </c:pt>
                <c:pt idx="2">
                  <c:v>643</c:v>
                </c:pt>
                <c:pt idx="3">
                  <c:v>341</c:v>
                </c:pt>
                <c:pt idx="4">
                  <c:v>848</c:v>
                </c:pt>
                <c:pt idx="5">
                  <c:v>662</c:v>
                </c:pt>
                <c:pt idx="6">
                  <c:v>700</c:v>
                </c:pt>
                <c:pt idx="7">
                  <c:v>785</c:v>
                </c:pt>
                <c:pt idx="8">
                  <c:v>734</c:v>
                </c:pt>
                <c:pt idx="9">
                  <c:v>414</c:v>
                </c:pt>
                <c:pt idx="10">
                  <c:v>662</c:v>
                </c:pt>
                <c:pt idx="11">
                  <c:v>560</c:v>
                </c:pt>
                <c:pt idx="12">
                  <c:v>231</c:v>
                </c:pt>
                <c:pt idx="13">
                  <c:v>596</c:v>
                </c:pt>
                <c:pt idx="14">
                  <c:v>410</c:v>
                </c:pt>
              </c:numCache>
            </c:numRef>
          </c:yVal>
          <c:smooth val="0"/>
        </c:ser>
        <c:axId val="86309009"/>
        <c:axId val="3913932"/>
      </c:scatterChart>
      <c:valAx>
        <c:axId val="86309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5868291697529"/>
              <c:y val="0.86960056916353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913932"/>
        <c:crosses val="autoZero"/>
        <c:crossBetween val="midCat"/>
      </c:valAx>
      <c:valAx>
        <c:axId val="39139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2522614086797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63090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240977646108268"/>
          <c:y val="0.0205284552845528"/>
          <c:w val="0.56063564743115"/>
          <c:h val="0.11952434190466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Zipf_Read_80_Ins_20!$F$4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Zipf_Read_80_Ins_20!$F$5:$F$15</c:f>
              <c:numCache>
                <c:formatCode>General</c:formatCode>
                <c:ptCount val="11"/>
                <c:pt idx="0">
                  <c:v>2.269</c:v>
                </c:pt>
                <c:pt idx="1">
                  <c:v>10.656</c:v>
                </c:pt>
                <c:pt idx="2">
                  <c:v>11.597</c:v>
                </c:pt>
                <c:pt idx="3">
                  <c:v>12.184</c:v>
                </c:pt>
                <c:pt idx="4">
                  <c:v>12.675</c:v>
                </c:pt>
                <c:pt idx="5">
                  <c:v>13.096</c:v>
                </c:pt>
                <c:pt idx="6">
                  <c:v>13.508</c:v>
                </c:pt>
                <c:pt idx="7">
                  <c:v>13.939</c:v>
                </c:pt>
                <c:pt idx="8">
                  <c:v>14.425</c:v>
                </c:pt>
                <c:pt idx="9">
                  <c:v>14.907</c:v>
                </c:pt>
                <c:pt idx="10">
                  <c:v>15.461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Zipf_Read_80_Ins_20!$G$5:$G$15</c:f>
              <c:numCache>
                <c:formatCode>General</c:formatCode>
                <c:ptCount val="11"/>
                <c:pt idx="0">
                  <c:v>4.777</c:v>
                </c:pt>
                <c:pt idx="1">
                  <c:v>13.724</c:v>
                </c:pt>
                <c:pt idx="2">
                  <c:v>14.629</c:v>
                </c:pt>
                <c:pt idx="3">
                  <c:v>15.151</c:v>
                </c:pt>
                <c:pt idx="4">
                  <c:v>15.533</c:v>
                </c:pt>
                <c:pt idx="5">
                  <c:v>15.827</c:v>
                </c:pt>
                <c:pt idx="6">
                  <c:v>16.088</c:v>
                </c:pt>
                <c:pt idx="7">
                  <c:v>16.307</c:v>
                </c:pt>
                <c:pt idx="8">
                  <c:v>16.495</c:v>
                </c:pt>
                <c:pt idx="9">
                  <c:v>16.674</c:v>
                </c:pt>
                <c:pt idx="10">
                  <c:v>16.827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Zipf_Read_80_Ins_20!$H$5:$H$15</c:f>
              <c:numCache>
                <c:formatCode>General</c:formatCode>
                <c:ptCount val="11"/>
                <c:pt idx="0">
                  <c:v>3.635</c:v>
                </c:pt>
                <c:pt idx="1">
                  <c:v>12.532</c:v>
                </c:pt>
                <c:pt idx="2">
                  <c:v>13.88</c:v>
                </c:pt>
                <c:pt idx="3">
                  <c:v>15.088</c:v>
                </c:pt>
                <c:pt idx="4">
                  <c:v>16.663</c:v>
                </c:pt>
                <c:pt idx="5">
                  <c:v>18.388</c:v>
                </c:pt>
                <c:pt idx="6">
                  <c:v>20.408</c:v>
                </c:pt>
                <c:pt idx="7">
                  <c:v>23.025</c:v>
                </c:pt>
                <c:pt idx="8">
                  <c:v>26.051</c:v>
                </c:pt>
                <c:pt idx="9">
                  <c:v>29.072</c:v>
                </c:pt>
                <c:pt idx="10">
                  <c:v>32.893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Zipf_Read_80_Ins_20!$I$5:$I$15</c:f>
              <c:numCache>
                <c:formatCode>General</c:formatCode>
                <c:ptCount val="11"/>
                <c:pt idx="0">
                  <c:v>3.558</c:v>
                </c:pt>
                <c:pt idx="1">
                  <c:v>12.305</c:v>
                </c:pt>
                <c:pt idx="2">
                  <c:v>13.167</c:v>
                </c:pt>
                <c:pt idx="3">
                  <c:v>13.676</c:v>
                </c:pt>
                <c:pt idx="4">
                  <c:v>14.049</c:v>
                </c:pt>
                <c:pt idx="5">
                  <c:v>14.332</c:v>
                </c:pt>
                <c:pt idx="6">
                  <c:v>14.578</c:v>
                </c:pt>
                <c:pt idx="7">
                  <c:v>14.776</c:v>
                </c:pt>
                <c:pt idx="8">
                  <c:v>14.955</c:v>
                </c:pt>
                <c:pt idx="9">
                  <c:v>15.118</c:v>
                </c:pt>
                <c:pt idx="10">
                  <c:v>15.262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Zipf_Read_80_Ins_20!$J$5:$J$15</c:f>
              <c:numCache>
                <c:formatCode>General</c:formatCode>
                <c:ptCount val="11"/>
                <c:pt idx="0">
                  <c:v>2.484</c:v>
                </c:pt>
                <c:pt idx="1">
                  <c:v>12.29</c:v>
                </c:pt>
                <c:pt idx="2">
                  <c:v>13.38</c:v>
                </c:pt>
                <c:pt idx="3">
                  <c:v>14.159</c:v>
                </c:pt>
                <c:pt idx="4">
                  <c:v>14.93</c:v>
                </c:pt>
                <c:pt idx="5">
                  <c:v>15.613</c:v>
                </c:pt>
                <c:pt idx="6">
                  <c:v>16.371</c:v>
                </c:pt>
                <c:pt idx="7">
                  <c:v>17.269</c:v>
                </c:pt>
                <c:pt idx="8">
                  <c:v>18.355</c:v>
                </c:pt>
                <c:pt idx="9">
                  <c:v>19.401</c:v>
                </c:pt>
                <c:pt idx="10">
                  <c:v>20.584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Zipf_Read_80_Ins_20!$K$4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Zipf_Read_80_Ins_20!$K$5:$K$15</c:f>
              <c:numCache>
                <c:formatCode>General</c:formatCode>
                <c:ptCount val="11"/>
                <c:pt idx="0">
                  <c:v>2.752</c:v>
                </c:pt>
                <c:pt idx="1">
                  <c:v>19.345</c:v>
                </c:pt>
                <c:pt idx="2">
                  <c:v>21.056</c:v>
                </c:pt>
                <c:pt idx="3">
                  <c:v>22.149</c:v>
                </c:pt>
                <c:pt idx="4">
                  <c:v>22.953</c:v>
                </c:pt>
                <c:pt idx="5">
                  <c:v>23.751</c:v>
                </c:pt>
                <c:pt idx="6">
                  <c:v>24.558</c:v>
                </c:pt>
                <c:pt idx="7">
                  <c:v>25.339</c:v>
                </c:pt>
                <c:pt idx="8">
                  <c:v>26.156</c:v>
                </c:pt>
                <c:pt idx="9">
                  <c:v>26.893</c:v>
                </c:pt>
                <c:pt idx="10">
                  <c:v>27.712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Zipf_Read_80_Ins_20!$P$4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Zipf_Read_80_Ins_20!$P$5:$P$15</c:f>
              <c:numCache>
                <c:formatCode>General</c:formatCode>
                <c:ptCount val="11"/>
                <c:pt idx="0">
                  <c:v>3.238</c:v>
                </c:pt>
                <c:pt idx="1">
                  <c:v>13.585</c:v>
                </c:pt>
                <c:pt idx="2">
                  <c:v>14.582</c:v>
                </c:pt>
                <c:pt idx="3">
                  <c:v>15.21</c:v>
                </c:pt>
                <c:pt idx="4">
                  <c:v>15.725</c:v>
                </c:pt>
                <c:pt idx="5">
                  <c:v>16.099</c:v>
                </c:pt>
                <c:pt idx="6">
                  <c:v>16.434</c:v>
                </c:pt>
                <c:pt idx="7">
                  <c:v>16.771</c:v>
                </c:pt>
                <c:pt idx="8">
                  <c:v>17.095</c:v>
                </c:pt>
                <c:pt idx="9">
                  <c:v>17.412</c:v>
                </c:pt>
                <c:pt idx="10">
                  <c:v>17.75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Zipf_Read_80_Ins_20!$Q$4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Zipf_Read_80_Ins_20!$Q$5:$Q$15</c:f>
              <c:numCache>
                <c:formatCode>General</c:formatCode>
                <c:ptCount val="11"/>
                <c:pt idx="0">
                  <c:v>3.275</c:v>
                </c:pt>
                <c:pt idx="1">
                  <c:v>25.936</c:v>
                </c:pt>
                <c:pt idx="2">
                  <c:v>25.95</c:v>
                </c:pt>
                <c:pt idx="3">
                  <c:v>25.955</c:v>
                </c:pt>
                <c:pt idx="4">
                  <c:v>25.962</c:v>
                </c:pt>
                <c:pt idx="5">
                  <c:v>25.966</c:v>
                </c:pt>
                <c:pt idx="6">
                  <c:v>25.971</c:v>
                </c:pt>
                <c:pt idx="7">
                  <c:v>25.976</c:v>
                </c:pt>
                <c:pt idx="8">
                  <c:v>25.98</c:v>
                </c:pt>
                <c:pt idx="9">
                  <c:v>25.985</c:v>
                </c:pt>
                <c:pt idx="10">
                  <c:v>25.99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Zipf_Read_80_Ins_20!$R$5:$R$15</c:f>
              <c:numCache>
                <c:formatCode>General</c:formatCode>
                <c:ptCount val="11"/>
                <c:pt idx="0">
                  <c:v>4.11332</c:v>
                </c:pt>
                <c:pt idx="1">
                  <c:v>11.3535</c:v>
                </c:pt>
                <c:pt idx="2">
                  <c:v>11.4994</c:v>
                </c:pt>
                <c:pt idx="3">
                  <c:v>11.6515</c:v>
                </c:pt>
                <c:pt idx="4">
                  <c:v>11.8024</c:v>
                </c:pt>
                <c:pt idx="5">
                  <c:v>11.9614</c:v>
                </c:pt>
                <c:pt idx="6">
                  <c:v>12.1296</c:v>
                </c:pt>
                <c:pt idx="7">
                  <c:v>12.3099</c:v>
                </c:pt>
                <c:pt idx="8">
                  <c:v>12.4974</c:v>
                </c:pt>
                <c:pt idx="9">
                  <c:v>14.8831</c:v>
                </c:pt>
                <c:pt idx="10">
                  <c:v>17.1977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17989"/>
        <c:axId val="56200589"/>
      </c:lineChart>
      <c:catAx>
        <c:axId val="2617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6200589"/>
        <c:crosses val="autoZero"/>
        <c:auto val="1"/>
        <c:lblAlgn val="ctr"/>
        <c:lblOffset val="100"/>
        <c:noMultiLvlLbl val="0"/>
      </c:catAx>
      <c:valAx>
        <c:axId val="562005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6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6179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6148268533567"/>
          <c:y val="0.0594576572571683"/>
          <c:w val="0.793474184273034"/>
          <c:h val="0.672482773949767"/>
        </c:manualLayout>
      </c:layout>
      <c:lineChart>
        <c:grouping val="standard"/>
        <c:varyColors val="0"/>
        <c:ser>
          <c:idx val="0"/>
          <c:order val="0"/>
          <c:tx>
            <c:strRef>
              <c:f>Zipf_Read_80_Ins_20!$F$4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Zipf_Read_80_Ins_20!$F$5:$F$15</c:f>
              <c:numCache>
                <c:formatCode>General</c:formatCode>
                <c:ptCount val="11"/>
                <c:pt idx="0">
                  <c:v>2.269</c:v>
                </c:pt>
                <c:pt idx="1">
                  <c:v>10.656</c:v>
                </c:pt>
                <c:pt idx="2">
                  <c:v>11.597</c:v>
                </c:pt>
                <c:pt idx="3">
                  <c:v>12.184</c:v>
                </c:pt>
                <c:pt idx="4">
                  <c:v>12.675</c:v>
                </c:pt>
                <c:pt idx="5">
                  <c:v>13.096</c:v>
                </c:pt>
                <c:pt idx="6">
                  <c:v>13.508</c:v>
                </c:pt>
                <c:pt idx="7">
                  <c:v>13.939</c:v>
                </c:pt>
                <c:pt idx="8">
                  <c:v>14.425</c:v>
                </c:pt>
                <c:pt idx="9">
                  <c:v>14.907</c:v>
                </c:pt>
                <c:pt idx="10">
                  <c:v>15.461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Zipf_Read_80_Ins_20!$G$4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Zipf_Read_80_Ins_20!$G$5:$G$15</c:f>
              <c:numCache>
                <c:formatCode>General</c:formatCode>
                <c:ptCount val="11"/>
                <c:pt idx="0">
                  <c:v>4.777</c:v>
                </c:pt>
                <c:pt idx="1">
                  <c:v>13.724</c:v>
                </c:pt>
                <c:pt idx="2">
                  <c:v>14.629</c:v>
                </c:pt>
                <c:pt idx="3">
                  <c:v>15.151</c:v>
                </c:pt>
                <c:pt idx="4">
                  <c:v>15.533</c:v>
                </c:pt>
                <c:pt idx="5">
                  <c:v>15.827</c:v>
                </c:pt>
                <c:pt idx="6">
                  <c:v>16.088</c:v>
                </c:pt>
                <c:pt idx="7">
                  <c:v>16.307</c:v>
                </c:pt>
                <c:pt idx="8">
                  <c:v>16.495</c:v>
                </c:pt>
                <c:pt idx="9">
                  <c:v>16.674</c:v>
                </c:pt>
                <c:pt idx="10">
                  <c:v>16.827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Zipf_Read_80_Ins_20!$H$4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Zipf_Read_80_Ins_20!$H$5:$H$15</c:f>
              <c:numCache>
                <c:formatCode>General</c:formatCode>
                <c:ptCount val="11"/>
                <c:pt idx="0">
                  <c:v>3.635</c:v>
                </c:pt>
                <c:pt idx="1">
                  <c:v>12.532</c:v>
                </c:pt>
                <c:pt idx="2">
                  <c:v>13.88</c:v>
                </c:pt>
                <c:pt idx="3">
                  <c:v>15.088</c:v>
                </c:pt>
                <c:pt idx="4">
                  <c:v>16.663</c:v>
                </c:pt>
                <c:pt idx="5">
                  <c:v>18.388</c:v>
                </c:pt>
                <c:pt idx="6">
                  <c:v>20.408</c:v>
                </c:pt>
                <c:pt idx="7">
                  <c:v>23.025</c:v>
                </c:pt>
                <c:pt idx="8">
                  <c:v>26.051</c:v>
                </c:pt>
                <c:pt idx="9">
                  <c:v>29.072</c:v>
                </c:pt>
                <c:pt idx="10">
                  <c:v>32.893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Zipf_Read_80_Ins_20!$I$4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Zipf_Read_80_Ins_20!$I$5:$I$15</c:f>
              <c:numCache>
                <c:formatCode>General</c:formatCode>
                <c:ptCount val="11"/>
                <c:pt idx="0">
                  <c:v>3.558</c:v>
                </c:pt>
                <c:pt idx="1">
                  <c:v>12.305</c:v>
                </c:pt>
                <c:pt idx="2">
                  <c:v>13.167</c:v>
                </c:pt>
                <c:pt idx="3">
                  <c:v>13.676</c:v>
                </c:pt>
                <c:pt idx="4">
                  <c:v>14.049</c:v>
                </c:pt>
                <c:pt idx="5">
                  <c:v>14.332</c:v>
                </c:pt>
                <c:pt idx="6">
                  <c:v>14.578</c:v>
                </c:pt>
                <c:pt idx="7">
                  <c:v>14.776</c:v>
                </c:pt>
                <c:pt idx="8">
                  <c:v>14.955</c:v>
                </c:pt>
                <c:pt idx="9">
                  <c:v>15.118</c:v>
                </c:pt>
                <c:pt idx="10">
                  <c:v>15.262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Zipf_Read_80_Ins_20!$J$4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Zipf_Read_80_Ins_20!$J$5:$J$15</c:f>
              <c:numCache>
                <c:formatCode>General</c:formatCode>
                <c:ptCount val="11"/>
                <c:pt idx="0">
                  <c:v>2.484</c:v>
                </c:pt>
                <c:pt idx="1">
                  <c:v>12.29</c:v>
                </c:pt>
                <c:pt idx="2">
                  <c:v>13.38</c:v>
                </c:pt>
                <c:pt idx="3">
                  <c:v>14.159</c:v>
                </c:pt>
                <c:pt idx="4">
                  <c:v>14.93</c:v>
                </c:pt>
                <c:pt idx="5">
                  <c:v>15.613</c:v>
                </c:pt>
                <c:pt idx="6">
                  <c:v>16.371</c:v>
                </c:pt>
                <c:pt idx="7">
                  <c:v>17.269</c:v>
                </c:pt>
                <c:pt idx="8">
                  <c:v>18.355</c:v>
                </c:pt>
                <c:pt idx="9">
                  <c:v>19.401</c:v>
                </c:pt>
                <c:pt idx="10">
                  <c:v>20.584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Zipf_Read_80_Ins_20!$K$4</c:f>
              <c:strCache>
                <c:ptCount val="1"/>
                <c:pt idx="0">
                  <c:v>MDD1R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Zipf_Read_80_Ins_20!$K$5:$K$15</c:f>
              <c:numCache>
                <c:formatCode>General</c:formatCode>
                <c:ptCount val="11"/>
                <c:pt idx="0">
                  <c:v>2.752</c:v>
                </c:pt>
                <c:pt idx="1">
                  <c:v>19.345</c:v>
                </c:pt>
                <c:pt idx="2">
                  <c:v>21.056</c:v>
                </c:pt>
                <c:pt idx="3">
                  <c:v>22.149</c:v>
                </c:pt>
                <c:pt idx="4">
                  <c:v>22.953</c:v>
                </c:pt>
                <c:pt idx="5">
                  <c:v>23.751</c:v>
                </c:pt>
                <c:pt idx="6">
                  <c:v>24.558</c:v>
                </c:pt>
                <c:pt idx="7">
                  <c:v>25.339</c:v>
                </c:pt>
                <c:pt idx="8">
                  <c:v>26.156</c:v>
                </c:pt>
                <c:pt idx="9">
                  <c:v>26.893</c:v>
                </c:pt>
                <c:pt idx="10">
                  <c:v>27.712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Zipf_Read_80_Ins_20!$P$4</c:f>
              <c:strCache>
                <c:ptCount val="1"/>
                <c:pt idx="0">
                  <c:v>AICC1R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Zipf_Read_80_Ins_20!$P$5:$P$15</c:f>
              <c:numCache>
                <c:formatCode>General</c:formatCode>
                <c:ptCount val="11"/>
                <c:pt idx="0">
                  <c:v>3.238</c:v>
                </c:pt>
                <c:pt idx="1">
                  <c:v>13.585</c:v>
                </c:pt>
                <c:pt idx="2">
                  <c:v>14.582</c:v>
                </c:pt>
                <c:pt idx="3">
                  <c:v>15.21</c:v>
                </c:pt>
                <c:pt idx="4">
                  <c:v>15.725</c:v>
                </c:pt>
                <c:pt idx="5">
                  <c:v>16.099</c:v>
                </c:pt>
                <c:pt idx="6">
                  <c:v>16.434</c:v>
                </c:pt>
                <c:pt idx="7">
                  <c:v>16.771</c:v>
                </c:pt>
                <c:pt idx="8">
                  <c:v>17.095</c:v>
                </c:pt>
                <c:pt idx="9">
                  <c:v>17.412</c:v>
                </c:pt>
                <c:pt idx="10">
                  <c:v>17.75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Zipf_Read_80_Ins_20!$Q$4</c:f>
              <c:strCache>
                <c:ptCount val="1"/>
                <c:pt idx="0">
                  <c:v>AICS1R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Zipf_Read_80_Ins_20!$Q$5:$Q$15</c:f>
              <c:numCache>
                <c:formatCode>General</c:formatCode>
                <c:ptCount val="11"/>
                <c:pt idx="0">
                  <c:v>3.275</c:v>
                </c:pt>
                <c:pt idx="1">
                  <c:v>25.936</c:v>
                </c:pt>
                <c:pt idx="2">
                  <c:v>25.95</c:v>
                </c:pt>
                <c:pt idx="3">
                  <c:v>25.955</c:v>
                </c:pt>
                <c:pt idx="4">
                  <c:v>25.962</c:v>
                </c:pt>
                <c:pt idx="5">
                  <c:v>25.966</c:v>
                </c:pt>
                <c:pt idx="6">
                  <c:v>25.971</c:v>
                </c:pt>
                <c:pt idx="7">
                  <c:v>25.976</c:v>
                </c:pt>
                <c:pt idx="8">
                  <c:v>25.98</c:v>
                </c:pt>
                <c:pt idx="9">
                  <c:v>25.985</c:v>
                </c:pt>
                <c:pt idx="10">
                  <c:v>25.99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Zipf_Read_80_Ins_20!$R$4</c:f>
              <c:strCache>
                <c:ptCount val="1"/>
                <c:pt idx="0">
                  <c:v>FLAIRS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Zipf_Read_80_Ins_20!$C$5:$C$15</c:f>
              <c:strCache>
                <c:ptCount val="11"/>
                <c:pt idx="0">
                  <c:v>1</c:v>
                </c:pt>
                <c:pt idx="1">
                  <c:v>2K</c:v>
                </c:pt>
                <c:pt idx="2">
                  <c:v>4K</c:v>
                </c:pt>
                <c:pt idx="3">
                  <c:v>6K</c:v>
                </c:pt>
                <c:pt idx="4">
                  <c:v>8K</c:v>
                </c:pt>
                <c:pt idx="5">
                  <c:v>10K</c:v>
                </c:pt>
                <c:pt idx="6">
                  <c:v>12K</c:v>
                </c:pt>
                <c:pt idx="7">
                  <c:v>14K</c:v>
                </c:pt>
                <c:pt idx="8">
                  <c:v>16K</c:v>
                </c:pt>
                <c:pt idx="9">
                  <c:v>18K</c:v>
                </c:pt>
                <c:pt idx="10">
                  <c:v>20K</c:v>
                </c:pt>
              </c:strCache>
            </c:strRef>
          </c:cat>
          <c:val>
            <c:numRef>
              <c:f>Zipf_Read_80_Ins_20!$R$5:$R$15</c:f>
              <c:numCache>
                <c:formatCode>General</c:formatCode>
                <c:ptCount val="11"/>
                <c:pt idx="0">
                  <c:v>4.11332</c:v>
                </c:pt>
                <c:pt idx="1">
                  <c:v>11.3535</c:v>
                </c:pt>
                <c:pt idx="2">
                  <c:v>11.4994</c:v>
                </c:pt>
                <c:pt idx="3">
                  <c:v>11.6515</c:v>
                </c:pt>
                <c:pt idx="4">
                  <c:v>11.8024</c:v>
                </c:pt>
                <c:pt idx="5">
                  <c:v>11.9614</c:v>
                </c:pt>
                <c:pt idx="6">
                  <c:v>12.1296</c:v>
                </c:pt>
                <c:pt idx="7">
                  <c:v>12.3099</c:v>
                </c:pt>
                <c:pt idx="8">
                  <c:v>12.4974</c:v>
                </c:pt>
                <c:pt idx="9">
                  <c:v>14.8831</c:v>
                </c:pt>
                <c:pt idx="10">
                  <c:v>17.1977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964352"/>
        <c:axId val="2005929"/>
      </c:lineChart>
      <c:catAx>
        <c:axId val="78964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89873734216777"/>
              <c:y val="0.877861747054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2700000"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005929"/>
        <c:crossesAt val="0"/>
        <c:auto val="1"/>
        <c:lblAlgn val="ctr"/>
        <c:lblOffset val="100"/>
        <c:noMultiLvlLbl val="0"/>
      </c:catAx>
      <c:valAx>
        <c:axId val="20059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8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Query Time (s)</a:t>
                </a:r>
              </a:p>
            </c:rich>
          </c:tx>
          <c:layout>
            <c:manualLayout>
              <c:xMode val="edge"/>
              <c:yMode val="edge"/>
              <c:x val="0.00418802350293787"/>
              <c:y val="0.0981329184263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8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8964352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5" Type="http://schemas.openxmlformats.org/officeDocument/2006/relationships/chart" Target="../charts/chart3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50040</xdr:colOff>
      <xdr:row>21</xdr:row>
      <xdr:rowOff>19440</xdr:rowOff>
    </xdr:from>
    <xdr:to>
      <xdr:col>8</xdr:col>
      <xdr:colOff>603720</xdr:colOff>
      <xdr:row>40</xdr:row>
      <xdr:rowOff>29880</xdr:rowOff>
    </xdr:to>
    <xdr:graphicFrame>
      <xdr:nvGraphicFramePr>
        <xdr:cNvPr id="0" name=""/>
        <xdr:cNvGraphicFramePr/>
      </xdr:nvGraphicFramePr>
      <xdr:xfrm>
        <a:off x="6600240" y="41407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175320</xdr:colOff>
      <xdr:row>19</xdr:row>
      <xdr:rowOff>152640</xdr:rowOff>
    </xdr:from>
    <xdr:to>
      <xdr:col>14</xdr:col>
      <xdr:colOff>33840</xdr:colOff>
      <xdr:row>39</xdr:row>
      <xdr:rowOff>140400</xdr:rowOff>
    </xdr:to>
    <xdr:graphicFrame>
      <xdr:nvGraphicFramePr>
        <xdr:cNvPr id="1" name=""/>
        <xdr:cNvGraphicFramePr/>
      </xdr:nvGraphicFramePr>
      <xdr:xfrm>
        <a:off x="4455720" y="3229200"/>
        <a:ext cx="4139280" cy="322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46440</xdr:colOff>
      <xdr:row>19</xdr:row>
      <xdr:rowOff>143280</xdr:rowOff>
    </xdr:from>
    <xdr:to>
      <xdr:col>21</xdr:col>
      <xdr:colOff>76320</xdr:colOff>
      <xdr:row>39</xdr:row>
      <xdr:rowOff>131400</xdr:rowOff>
    </xdr:to>
    <xdr:graphicFrame>
      <xdr:nvGraphicFramePr>
        <xdr:cNvPr id="2" name=""/>
        <xdr:cNvGraphicFramePr/>
      </xdr:nvGraphicFramePr>
      <xdr:xfrm>
        <a:off x="9218880" y="3219840"/>
        <a:ext cx="4946040" cy="32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153720</xdr:colOff>
      <xdr:row>42</xdr:row>
      <xdr:rowOff>45720</xdr:rowOff>
    </xdr:from>
    <xdr:to>
      <xdr:col>17</xdr:col>
      <xdr:colOff>599040</xdr:colOff>
      <xdr:row>63</xdr:row>
      <xdr:rowOff>45360</xdr:rowOff>
    </xdr:to>
    <xdr:graphicFrame>
      <xdr:nvGraphicFramePr>
        <xdr:cNvPr id="3" name=""/>
        <xdr:cNvGraphicFramePr/>
      </xdr:nvGraphicFramePr>
      <xdr:xfrm>
        <a:off x="5657400" y="6846480"/>
        <a:ext cx="53373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537120</xdr:colOff>
      <xdr:row>8</xdr:row>
      <xdr:rowOff>140400</xdr:rowOff>
    </xdr:from>
    <xdr:to>
      <xdr:col>22</xdr:col>
      <xdr:colOff>2117160</xdr:colOff>
      <xdr:row>28</xdr:row>
      <xdr:rowOff>140760</xdr:rowOff>
    </xdr:to>
    <xdr:graphicFrame>
      <xdr:nvGraphicFramePr>
        <xdr:cNvPr id="4" name=""/>
        <xdr:cNvGraphicFramePr/>
      </xdr:nvGraphicFramePr>
      <xdr:xfrm>
        <a:off x="13145760" y="143568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286200</xdr:colOff>
      <xdr:row>41</xdr:row>
      <xdr:rowOff>122760</xdr:rowOff>
    </xdr:from>
    <xdr:to>
      <xdr:col>33</xdr:col>
      <xdr:colOff>452880</xdr:colOff>
      <xdr:row>60</xdr:row>
      <xdr:rowOff>144000</xdr:rowOff>
    </xdr:to>
    <xdr:graphicFrame>
      <xdr:nvGraphicFramePr>
        <xdr:cNvPr id="5" name=""/>
        <xdr:cNvGraphicFramePr/>
      </xdr:nvGraphicFramePr>
      <xdr:xfrm>
        <a:off x="12894840" y="6761520"/>
        <a:ext cx="1315944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193320</xdr:colOff>
      <xdr:row>21</xdr:row>
      <xdr:rowOff>13680</xdr:rowOff>
    </xdr:from>
    <xdr:to>
      <xdr:col>15</xdr:col>
      <xdr:colOff>51480</xdr:colOff>
      <xdr:row>41</xdr:row>
      <xdr:rowOff>2160</xdr:rowOff>
    </xdr:to>
    <xdr:graphicFrame>
      <xdr:nvGraphicFramePr>
        <xdr:cNvPr id="6" name=""/>
        <xdr:cNvGraphicFramePr/>
      </xdr:nvGraphicFramePr>
      <xdr:xfrm>
        <a:off x="5085360" y="3414240"/>
        <a:ext cx="4138560" cy="32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20160</xdr:colOff>
      <xdr:row>21</xdr:row>
      <xdr:rowOff>23400</xdr:rowOff>
    </xdr:from>
    <xdr:to>
      <xdr:col>21</xdr:col>
      <xdr:colOff>609120</xdr:colOff>
      <xdr:row>42</xdr:row>
      <xdr:rowOff>10080</xdr:rowOff>
    </xdr:to>
    <xdr:graphicFrame>
      <xdr:nvGraphicFramePr>
        <xdr:cNvPr id="7" name=""/>
        <xdr:cNvGraphicFramePr/>
      </xdr:nvGraphicFramePr>
      <xdr:xfrm>
        <a:off x="10415880" y="3423960"/>
        <a:ext cx="5474520" cy="338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104040</xdr:colOff>
      <xdr:row>44</xdr:row>
      <xdr:rowOff>82800</xdr:rowOff>
    </xdr:from>
    <xdr:to>
      <xdr:col>18</xdr:col>
      <xdr:colOff>549360</xdr:colOff>
      <xdr:row>65</xdr:row>
      <xdr:rowOff>82800</xdr:rowOff>
    </xdr:to>
    <xdr:graphicFrame>
      <xdr:nvGraphicFramePr>
        <xdr:cNvPr id="8" name=""/>
        <xdr:cNvGraphicFramePr/>
      </xdr:nvGraphicFramePr>
      <xdr:xfrm>
        <a:off x="6219000" y="7207560"/>
        <a:ext cx="5337360" cy="35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813600</xdr:colOff>
      <xdr:row>39</xdr:row>
      <xdr:rowOff>50400</xdr:rowOff>
    </xdr:from>
    <xdr:to>
      <xdr:col>24</xdr:col>
      <xdr:colOff>463680</xdr:colOff>
      <xdr:row>58</xdr:row>
      <xdr:rowOff>71640</xdr:rowOff>
    </xdr:to>
    <xdr:graphicFrame>
      <xdr:nvGraphicFramePr>
        <xdr:cNvPr id="9" name=""/>
        <xdr:cNvGraphicFramePr/>
      </xdr:nvGraphicFramePr>
      <xdr:xfrm>
        <a:off x="11820600" y="63655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953280</xdr:colOff>
      <xdr:row>66</xdr:row>
      <xdr:rowOff>155880</xdr:rowOff>
    </xdr:from>
    <xdr:to>
      <xdr:col>24</xdr:col>
      <xdr:colOff>603360</xdr:colOff>
      <xdr:row>86</xdr:row>
      <xdr:rowOff>156240</xdr:rowOff>
    </xdr:to>
    <xdr:graphicFrame>
      <xdr:nvGraphicFramePr>
        <xdr:cNvPr id="10" name=""/>
        <xdr:cNvGraphicFramePr/>
      </xdr:nvGraphicFramePr>
      <xdr:xfrm>
        <a:off x="11960280" y="109839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9720</xdr:colOff>
      <xdr:row>20</xdr:row>
      <xdr:rowOff>68040</xdr:rowOff>
    </xdr:from>
    <xdr:to>
      <xdr:col>15</xdr:col>
      <xdr:colOff>1800</xdr:colOff>
      <xdr:row>40</xdr:row>
      <xdr:rowOff>53280</xdr:rowOff>
    </xdr:to>
    <xdr:graphicFrame>
      <xdr:nvGraphicFramePr>
        <xdr:cNvPr id="11" name=""/>
        <xdr:cNvGraphicFramePr/>
      </xdr:nvGraphicFramePr>
      <xdr:xfrm>
        <a:off x="4901760" y="3306600"/>
        <a:ext cx="427248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190800</xdr:colOff>
      <xdr:row>20</xdr:row>
      <xdr:rowOff>15840</xdr:rowOff>
    </xdr:from>
    <xdr:to>
      <xdr:col>20</xdr:col>
      <xdr:colOff>603000</xdr:colOff>
      <xdr:row>40</xdr:row>
      <xdr:rowOff>130320</xdr:rowOff>
    </xdr:to>
    <xdr:graphicFrame>
      <xdr:nvGraphicFramePr>
        <xdr:cNvPr id="12" name=""/>
        <xdr:cNvGraphicFramePr/>
      </xdr:nvGraphicFramePr>
      <xdr:xfrm>
        <a:off x="9974880" y="3254400"/>
        <a:ext cx="488448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169560</xdr:colOff>
      <xdr:row>43</xdr:row>
      <xdr:rowOff>73080</xdr:rowOff>
    </xdr:from>
    <xdr:to>
      <xdr:col>19</xdr:col>
      <xdr:colOff>1239480</xdr:colOff>
      <xdr:row>64</xdr:row>
      <xdr:rowOff>73080</xdr:rowOff>
    </xdr:to>
    <xdr:graphicFrame>
      <xdr:nvGraphicFramePr>
        <xdr:cNvPr id="13" name=""/>
        <xdr:cNvGraphicFramePr/>
      </xdr:nvGraphicFramePr>
      <xdr:xfrm>
        <a:off x="7507800" y="7035840"/>
        <a:ext cx="5350320" cy="35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115920</xdr:colOff>
      <xdr:row>11</xdr:row>
      <xdr:rowOff>109080</xdr:rowOff>
    </xdr:from>
    <xdr:to>
      <xdr:col>24</xdr:col>
      <xdr:colOff>179280</xdr:colOff>
      <xdr:row>31</xdr:row>
      <xdr:rowOff>109440</xdr:rowOff>
    </xdr:to>
    <xdr:graphicFrame>
      <xdr:nvGraphicFramePr>
        <xdr:cNvPr id="14" name=""/>
        <xdr:cNvGraphicFramePr/>
      </xdr:nvGraphicFramePr>
      <xdr:xfrm>
        <a:off x="11122920" y="18903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0</xdr:colOff>
      <xdr:row>43</xdr:row>
      <xdr:rowOff>19440</xdr:rowOff>
    </xdr:from>
    <xdr:to>
      <xdr:col>29</xdr:col>
      <xdr:colOff>255240</xdr:colOff>
      <xdr:row>62</xdr:row>
      <xdr:rowOff>40680</xdr:rowOff>
    </xdr:to>
    <xdr:graphicFrame>
      <xdr:nvGraphicFramePr>
        <xdr:cNvPr id="15" name=""/>
        <xdr:cNvGraphicFramePr/>
      </xdr:nvGraphicFramePr>
      <xdr:xfrm>
        <a:off x="14256360" y="69822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84600</xdr:colOff>
      <xdr:row>18</xdr:row>
      <xdr:rowOff>135720</xdr:rowOff>
    </xdr:from>
    <xdr:to>
      <xdr:col>14</xdr:col>
      <xdr:colOff>145440</xdr:colOff>
      <xdr:row>38</xdr:row>
      <xdr:rowOff>122760</xdr:rowOff>
    </xdr:to>
    <xdr:graphicFrame>
      <xdr:nvGraphicFramePr>
        <xdr:cNvPr id="16" name=""/>
        <xdr:cNvGraphicFramePr/>
      </xdr:nvGraphicFramePr>
      <xdr:xfrm>
        <a:off x="4365000" y="3050280"/>
        <a:ext cx="434160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9000</xdr:colOff>
      <xdr:row>19</xdr:row>
      <xdr:rowOff>12240</xdr:rowOff>
    </xdr:from>
    <xdr:to>
      <xdr:col>21</xdr:col>
      <xdr:colOff>214200</xdr:colOff>
      <xdr:row>38</xdr:row>
      <xdr:rowOff>162000</xdr:rowOff>
    </xdr:to>
    <xdr:graphicFrame>
      <xdr:nvGraphicFramePr>
        <xdr:cNvPr id="17" name=""/>
        <xdr:cNvGraphicFramePr/>
      </xdr:nvGraphicFramePr>
      <xdr:xfrm>
        <a:off x="9793080" y="3088800"/>
        <a:ext cx="4946760" cy="322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457920</xdr:colOff>
      <xdr:row>43</xdr:row>
      <xdr:rowOff>55800</xdr:rowOff>
    </xdr:from>
    <xdr:to>
      <xdr:col>19</xdr:col>
      <xdr:colOff>293400</xdr:colOff>
      <xdr:row>64</xdr:row>
      <xdr:rowOff>63360</xdr:rowOff>
    </xdr:to>
    <xdr:graphicFrame>
      <xdr:nvGraphicFramePr>
        <xdr:cNvPr id="18" name=""/>
        <xdr:cNvGraphicFramePr/>
      </xdr:nvGraphicFramePr>
      <xdr:xfrm>
        <a:off x="6572880" y="7018560"/>
        <a:ext cx="5339160" cy="354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158760</xdr:colOff>
      <xdr:row>15</xdr:row>
      <xdr:rowOff>45000</xdr:rowOff>
    </xdr:from>
    <xdr:to>
      <xdr:col>23</xdr:col>
      <xdr:colOff>564840</xdr:colOff>
      <xdr:row>35</xdr:row>
      <xdr:rowOff>45360</xdr:rowOff>
    </xdr:to>
    <xdr:graphicFrame>
      <xdr:nvGraphicFramePr>
        <xdr:cNvPr id="19" name=""/>
        <xdr:cNvGraphicFramePr/>
      </xdr:nvGraphicFramePr>
      <xdr:xfrm>
        <a:off x="10554480" y="24739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360</xdr:colOff>
      <xdr:row>47</xdr:row>
      <xdr:rowOff>13680</xdr:rowOff>
    </xdr:from>
    <xdr:to>
      <xdr:col>29</xdr:col>
      <xdr:colOff>255600</xdr:colOff>
      <xdr:row>67</xdr:row>
      <xdr:rowOff>14040</xdr:rowOff>
    </xdr:to>
    <xdr:graphicFrame>
      <xdr:nvGraphicFramePr>
        <xdr:cNvPr id="20" name=""/>
        <xdr:cNvGraphicFramePr/>
      </xdr:nvGraphicFramePr>
      <xdr:xfrm>
        <a:off x="13914360" y="77652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180360</xdr:colOff>
      <xdr:row>20</xdr:row>
      <xdr:rowOff>78120</xdr:rowOff>
    </xdr:from>
    <xdr:to>
      <xdr:col>14</xdr:col>
      <xdr:colOff>45720</xdr:colOff>
      <xdr:row>40</xdr:row>
      <xdr:rowOff>63360</xdr:rowOff>
    </xdr:to>
    <xdr:graphicFrame>
      <xdr:nvGraphicFramePr>
        <xdr:cNvPr id="21" name=""/>
        <xdr:cNvGraphicFramePr/>
      </xdr:nvGraphicFramePr>
      <xdr:xfrm>
        <a:off x="4460760" y="3316680"/>
        <a:ext cx="414612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185040</xdr:colOff>
      <xdr:row>20</xdr:row>
      <xdr:rowOff>32040</xdr:rowOff>
    </xdr:from>
    <xdr:to>
      <xdr:col>22</xdr:col>
      <xdr:colOff>86400</xdr:colOff>
      <xdr:row>40</xdr:row>
      <xdr:rowOff>19440</xdr:rowOff>
    </xdr:to>
    <xdr:graphicFrame>
      <xdr:nvGraphicFramePr>
        <xdr:cNvPr id="22" name=""/>
        <xdr:cNvGraphicFramePr/>
      </xdr:nvGraphicFramePr>
      <xdr:xfrm>
        <a:off x="10580760" y="3270600"/>
        <a:ext cx="4753800" cy="322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54360</xdr:colOff>
      <xdr:row>44</xdr:row>
      <xdr:rowOff>92160</xdr:rowOff>
    </xdr:from>
    <xdr:to>
      <xdr:col>19</xdr:col>
      <xdr:colOff>2333880</xdr:colOff>
      <xdr:row>65</xdr:row>
      <xdr:rowOff>92160</xdr:rowOff>
    </xdr:to>
    <xdr:graphicFrame>
      <xdr:nvGraphicFramePr>
        <xdr:cNvPr id="23" name=""/>
        <xdr:cNvGraphicFramePr/>
      </xdr:nvGraphicFramePr>
      <xdr:xfrm>
        <a:off x="8615520" y="7216920"/>
        <a:ext cx="5337000" cy="35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338760</xdr:colOff>
      <xdr:row>16</xdr:row>
      <xdr:rowOff>6840</xdr:rowOff>
    </xdr:from>
    <xdr:to>
      <xdr:col>24</xdr:col>
      <xdr:colOff>21960</xdr:colOff>
      <xdr:row>36</xdr:row>
      <xdr:rowOff>7200</xdr:rowOff>
    </xdr:to>
    <xdr:graphicFrame>
      <xdr:nvGraphicFramePr>
        <xdr:cNvPr id="24" name=""/>
        <xdr:cNvGraphicFramePr/>
      </xdr:nvGraphicFramePr>
      <xdr:xfrm>
        <a:off x="10734480" y="25977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-720</xdr:colOff>
      <xdr:row>45</xdr:row>
      <xdr:rowOff>13680</xdr:rowOff>
    </xdr:from>
    <xdr:to>
      <xdr:col>31</xdr:col>
      <xdr:colOff>254520</xdr:colOff>
      <xdr:row>65</xdr:row>
      <xdr:rowOff>14040</xdr:rowOff>
    </xdr:to>
    <xdr:graphicFrame>
      <xdr:nvGraphicFramePr>
        <xdr:cNvPr id="25" name=""/>
        <xdr:cNvGraphicFramePr/>
      </xdr:nvGraphicFramePr>
      <xdr:xfrm>
        <a:off x="15247440" y="74412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156240</xdr:colOff>
      <xdr:row>22</xdr:row>
      <xdr:rowOff>69480</xdr:rowOff>
    </xdr:from>
    <xdr:to>
      <xdr:col>14</xdr:col>
      <xdr:colOff>21600</xdr:colOff>
      <xdr:row>42</xdr:row>
      <xdr:rowOff>54720</xdr:rowOff>
    </xdr:to>
    <xdr:graphicFrame>
      <xdr:nvGraphicFramePr>
        <xdr:cNvPr id="26" name=""/>
        <xdr:cNvGraphicFramePr/>
      </xdr:nvGraphicFramePr>
      <xdr:xfrm>
        <a:off x="4436640" y="3631680"/>
        <a:ext cx="414612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186120</xdr:colOff>
      <xdr:row>22</xdr:row>
      <xdr:rowOff>14400</xdr:rowOff>
    </xdr:from>
    <xdr:to>
      <xdr:col>20</xdr:col>
      <xdr:colOff>371520</xdr:colOff>
      <xdr:row>41</xdr:row>
      <xdr:rowOff>162000</xdr:rowOff>
    </xdr:to>
    <xdr:graphicFrame>
      <xdr:nvGraphicFramePr>
        <xdr:cNvPr id="27" name=""/>
        <xdr:cNvGraphicFramePr/>
      </xdr:nvGraphicFramePr>
      <xdr:xfrm>
        <a:off x="9358560" y="3576600"/>
        <a:ext cx="474624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17280</xdr:colOff>
      <xdr:row>46</xdr:row>
      <xdr:rowOff>65520</xdr:rowOff>
    </xdr:from>
    <xdr:to>
      <xdr:col>18</xdr:col>
      <xdr:colOff>471240</xdr:colOff>
      <xdr:row>67</xdr:row>
      <xdr:rowOff>65520</xdr:rowOff>
    </xdr:to>
    <xdr:graphicFrame>
      <xdr:nvGraphicFramePr>
        <xdr:cNvPr id="28" name=""/>
        <xdr:cNvGraphicFramePr/>
      </xdr:nvGraphicFramePr>
      <xdr:xfrm>
        <a:off x="6132240" y="7513920"/>
        <a:ext cx="5346000" cy="354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155520</xdr:colOff>
      <xdr:row>15</xdr:row>
      <xdr:rowOff>111600</xdr:rowOff>
    </xdr:from>
    <xdr:to>
      <xdr:col>24</xdr:col>
      <xdr:colOff>131040</xdr:colOff>
      <xdr:row>35</xdr:row>
      <xdr:rowOff>111960</xdr:rowOff>
    </xdr:to>
    <xdr:graphicFrame>
      <xdr:nvGraphicFramePr>
        <xdr:cNvPr id="29" name=""/>
        <xdr:cNvGraphicFramePr/>
      </xdr:nvGraphicFramePr>
      <xdr:xfrm>
        <a:off x="10551240" y="25405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0</xdr:colOff>
      <xdr:row>46</xdr:row>
      <xdr:rowOff>21600</xdr:rowOff>
    </xdr:from>
    <xdr:to>
      <xdr:col>29</xdr:col>
      <xdr:colOff>255600</xdr:colOff>
      <xdr:row>65</xdr:row>
      <xdr:rowOff>42840</xdr:rowOff>
    </xdr:to>
    <xdr:graphicFrame>
      <xdr:nvGraphicFramePr>
        <xdr:cNvPr id="30" name=""/>
        <xdr:cNvGraphicFramePr/>
      </xdr:nvGraphicFramePr>
      <xdr:xfrm>
        <a:off x="13733280" y="74700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2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29" activeCellId="0" sqref="G29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6.04"/>
    <col collapsed="false" customWidth="true" hidden="false" outlineLevel="0" max="6" min="6" style="1" width="19.23"/>
    <col collapsed="false" customWidth="true" hidden="false" outlineLevel="0" max="8" min="8" style="1" width="73.85"/>
  </cols>
  <sheetData>
    <row r="3" customFormat="false" ht="57.45" hidden="false" customHeight="true" outlineLevel="0" collapsed="false">
      <c r="B3" s="2" t="s">
        <v>0</v>
      </c>
      <c r="C3" s="2"/>
      <c r="D3" s="2"/>
      <c r="E3" s="2"/>
      <c r="F3" s="2"/>
      <c r="G3" s="2"/>
    </row>
    <row r="5" customFormat="false" ht="23.85" hidden="false" customHeight="false" outlineLevel="0" collapsed="false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</row>
    <row r="6" customFormat="false" ht="12.8" hidden="false" customHeight="false" outlineLevel="0" collapsed="false">
      <c r="A6" s="4" t="s">
        <v>7</v>
      </c>
      <c r="B6" s="4" t="s">
        <v>8</v>
      </c>
      <c r="C6" s="5" t="n">
        <v>3.77369</v>
      </c>
      <c r="D6" s="5" t="n">
        <v>0.664852</v>
      </c>
      <c r="E6" s="5" t="n">
        <v>0.0060753</v>
      </c>
      <c r="F6" s="5" t="n">
        <v>0.00551792</v>
      </c>
      <c r="G6" s="6" t="n">
        <f aca="false">SUM(C6:F6)</f>
        <v>4.45013522</v>
      </c>
      <c r="H6" s="5" t="s">
        <v>9</v>
      </c>
    </row>
    <row r="7" customFormat="false" ht="12.8" hidden="false" customHeight="false" outlineLevel="0" collapsed="false">
      <c r="A7" s="4"/>
      <c r="B7" s="4" t="s">
        <v>10</v>
      </c>
      <c r="C7" s="5" t="n">
        <v>3.94674</v>
      </c>
      <c r="D7" s="5" t="n">
        <v>0.674252</v>
      </c>
      <c r="E7" s="5" t="n">
        <v>0.00607872</v>
      </c>
      <c r="F7" s="5" t="n">
        <v>0.00519662</v>
      </c>
      <c r="G7" s="6" t="n">
        <f aca="false">SUM(C7:F7)</f>
        <v>4.63226734</v>
      </c>
      <c r="H7" s="5"/>
    </row>
    <row r="8" customFormat="false" ht="12.8" hidden="false" customHeight="false" outlineLevel="0" collapsed="false">
      <c r="A8" s="4"/>
      <c r="B8" s="4" t="s">
        <v>11</v>
      </c>
      <c r="C8" s="5" t="n">
        <v>3.76345</v>
      </c>
      <c r="D8" s="5" t="n">
        <v>0.670447</v>
      </c>
      <c r="E8" s="5" t="n">
        <v>0.00604015</v>
      </c>
      <c r="F8" s="5" t="n">
        <v>0.00502017</v>
      </c>
      <c r="G8" s="6" t="n">
        <f aca="false">SUM(C8:F8)</f>
        <v>4.44495732</v>
      </c>
      <c r="H8" s="5"/>
    </row>
    <row r="9" customFormat="false" ht="12.8" hidden="false" customHeight="false" outlineLevel="0" collapsed="false">
      <c r="A9" s="4"/>
      <c r="B9" s="4" t="s">
        <v>12</v>
      </c>
      <c r="C9" s="5" t="n">
        <f aca="false">AVERAGE(C6:C8)</f>
        <v>3.82796</v>
      </c>
      <c r="D9" s="5" t="n">
        <f aca="false">AVERAGE(D6:D8)</f>
        <v>0.669850333333333</v>
      </c>
      <c r="E9" s="5" t="n">
        <f aca="false">AVERAGE(E6:E8)</f>
        <v>0.00606472333333333</v>
      </c>
      <c r="F9" s="5" t="n">
        <f aca="false">AVERAGE(F6:F8)</f>
        <v>0.00524490333333333</v>
      </c>
      <c r="G9" s="6" t="n">
        <f aca="false">SUM(C9:F9)</f>
        <v>4.50911996</v>
      </c>
      <c r="H9" s="5"/>
    </row>
    <row r="10" customFormat="false" ht="12.8" hidden="false" customHeight="false" outlineLevel="0" collapsed="false">
      <c r="A10" s="4" t="s">
        <v>13</v>
      </c>
      <c r="B10" s="4" t="s">
        <v>8</v>
      </c>
      <c r="C10" s="5" t="n">
        <v>1.50078</v>
      </c>
      <c r="D10" s="5" t="n">
        <v>0.254331</v>
      </c>
      <c r="E10" s="5" t="n">
        <v>0.00535251</v>
      </c>
      <c r="F10" s="5" t="n">
        <v>0.00467675</v>
      </c>
      <c r="G10" s="6" t="n">
        <f aca="false">SUM(C10:F10)</f>
        <v>1.76514026</v>
      </c>
      <c r="H10" s="5"/>
    </row>
    <row r="11" customFormat="false" ht="12.8" hidden="false" customHeight="false" outlineLevel="0" collapsed="false">
      <c r="A11" s="4"/>
      <c r="B11" s="4" t="s">
        <v>10</v>
      </c>
      <c r="C11" s="5" t="n">
        <v>1.54947</v>
      </c>
      <c r="D11" s="5" t="n">
        <v>0.253641</v>
      </c>
      <c r="E11" s="5" t="n">
        <v>0.00559517</v>
      </c>
      <c r="F11" s="5" t="n">
        <v>0.00463573</v>
      </c>
      <c r="G11" s="6" t="n">
        <f aca="false">SUM(C11:F11)</f>
        <v>1.8133419</v>
      </c>
      <c r="H11" s="5"/>
    </row>
    <row r="12" customFormat="false" ht="12.8" hidden="false" customHeight="false" outlineLevel="0" collapsed="false">
      <c r="A12" s="4"/>
      <c r="B12" s="4" t="s">
        <v>11</v>
      </c>
      <c r="C12" s="5" t="n">
        <v>1.53698</v>
      </c>
      <c r="D12" s="5" t="n">
        <v>0.243083</v>
      </c>
      <c r="E12" s="5" t="n">
        <v>0.00550547</v>
      </c>
      <c r="F12" s="5" t="n">
        <v>0.0045372</v>
      </c>
      <c r="G12" s="6" t="n">
        <f aca="false">SUM(C12:F12)</f>
        <v>1.79010567</v>
      </c>
      <c r="H12" s="5"/>
    </row>
    <row r="13" customFormat="false" ht="12.8" hidden="false" customHeight="false" outlineLevel="0" collapsed="false">
      <c r="A13" s="4"/>
      <c r="B13" s="4" t="s">
        <v>12</v>
      </c>
      <c r="C13" s="5" t="n">
        <f aca="false">AVERAGE(C10:C12)</f>
        <v>1.52907666666667</v>
      </c>
      <c r="D13" s="5" t="n">
        <f aca="false">AVERAGE(D10:D12)</f>
        <v>0.250351666666667</v>
      </c>
      <c r="E13" s="5" t="n">
        <f aca="false">AVERAGE(E10:E12)</f>
        <v>0.00548438333333333</v>
      </c>
      <c r="F13" s="5" t="n">
        <f aca="false">AVERAGE(F10:F12)</f>
        <v>0.00461656</v>
      </c>
      <c r="G13" s="6" t="n">
        <f aca="false">SUM(C13:F13)</f>
        <v>1.78952927666667</v>
      </c>
      <c r="H13" s="5"/>
    </row>
    <row r="14" customFormat="false" ht="12.8" hidden="false" customHeight="false" outlineLevel="0" collapsed="false">
      <c r="A14" s="4" t="s">
        <v>14</v>
      </c>
      <c r="B14" s="4" t="s">
        <v>8</v>
      </c>
      <c r="C14" s="5" t="n">
        <v>0.489067</v>
      </c>
      <c r="D14" s="5" t="n">
        <v>0.667833</v>
      </c>
      <c r="E14" s="5" t="n">
        <v>0.0127747</v>
      </c>
      <c r="F14" s="5" t="n">
        <v>0.0129504</v>
      </c>
      <c r="G14" s="6" t="n">
        <f aca="false">SUM(C14:F14)</f>
        <v>1.1826251</v>
      </c>
      <c r="H14" s="5" t="s">
        <v>15</v>
      </c>
    </row>
    <row r="15" customFormat="false" ht="12.8" hidden="false" customHeight="false" outlineLevel="0" collapsed="false">
      <c r="A15" s="4"/>
      <c r="B15" s="4" t="s">
        <v>10</v>
      </c>
      <c r="C15" s="5" t="n">
        <v>0.506318</v>
      </c>
      <c r="D15" s="5" t="n">
        <v>0.676727</v>
      </c>
      <c r="E15" s="5" t="n">
        <v>0.0123627</v>
      </c>
      <c r="F15" s="5" t="n">
        <v>0.0124798</v>
      </c>
      <c r="G15" s="6" t="n">
        <f aca="false">SUM(C15:F15)</f>
        <v>1.2078875</v>
      </c>
      <c r="H15" s="5"/>
    </row>
    <row r="16" customFormat="false" ht="12.8" hidden="false" customHeight="false" outlineLevel="0" collapsed="false">
      <c r="A16" s="4"/>
      <c r="B16" s="4" t="s">
        <v>11</v>
      </c>
      <c r="C16" s="5" t="n">
        <v>0.490626</v>
      </c>
      <c r="D16" s="5" t="n">
        <v>0.706793</v>
      </c>
      <c r="E16" s="5" t="n">
        <v>0.0129167</v>
      </c>
      <c r="F16" s="5" t="n">
        <v>0.01249</v>
      </c>
      <c r="G16" s="6" t="n">
        <f aca="false">SUM(C16:F16)</f>
        <v>1.2228257</v>
      </c>
      <c r="H16" s="5"/>
    </row>
    <row r="17" customFormat="false" ht="12.8" hidden="false" customHeight="false" outlineLevel="0" collapsed="false">
      <c r="A17" s="4"/>
      <c r="B17" s="4" t="s">
        <v>12</v>
      </c>
      <c r="C17" s="5" t="n">
        <f aca="false">AVERAGE(C14:C16)</f>
        <v>0.495337</v>
      </c>
      <c r="D17" s="5" t="n">
        <f aca="false">AVERAGE(D14:D16)</f>
        <v>0.683784333333333</v>
      </c>
      <c r="E17" s="5" t="n">
        <f aca="false">AVERAGE(E14:E16)</f>
        <v>0.0126847</v>
      </c>
      <c r="F17" s="5" t="n">
        <f aca="false">AVERAGE(F14:F16)</f>
        <v>0.0126400666666667</v>
      </c>
      <c r="G17" s="6" t="n">
        <f aca="false">SUM(C17:F17)</f>
        <v>1.2044461</v>
      </c>
      <c r="H17" s="5"/>
    </row>
    <row r="22" customFormat="false" ht="23.85" hidden="false" customHeight="false" outlineLevel="0" collapsed="false">
      <c r="C22" s="3" t="s">
        <v>1</v>
      </c>
      <c r="D22" s="3" t="s">
        <v>2</v>
      </c>
      <c r="E22" s="3" t="s">
        <v>3</v>
      </c>
      <c r="F22" s="3" t="s">
        <v>4</v>
      </c>
    </row>
    <row r="23" customFormat="false" ht="12.8" hidden="false" customHeight="false" outlineLevel="0" collapsed="false">
      <c r="B23" s="1" t="s">
        <v>7</v>
      </c>
      <c r="C23" s="1" t="n">
        <v>3.82796</v>
      </c>
      <c r="D23" s="1" t="n">
        <v>0.669850333333333</v>
      </c>
      <c r="E23" s="1" t="n">
        <v>0.00606472333333333</v>
      </c>
      <c r="F23" s="1" t="n">
        <v>0.00524490333333333</v>
      </c>
    </row>
    <row r="24" customFormat="false" ht="12.8" hidden="false" customHeight="false" outlineLevel="0" collapsed="false">
      <c r="B24" s="1" t="s">
        <v>13</v>
      </c>
      <c r="C24" s="1" t="n">
        <v>1.52907666666667</v>
      </c>
      <c r="D24" s="1" t="n">
        <v>0.250351666666667</v>
      </c>
      <c r="E24" s="1" t="n">
        <v>0.00548438333333333</v>
      </c>
      <c r="F24" s="1" t="n">
        <v>0.00461656</v>
      </c>
    </row>
    <row r="25" customFormat="false" ht="12.8" hidden="false" customHeight="false" outlineLevel="0" collapsed="false">
      <c r="B25" s="1" t="s">
        <v>14</v>
      </c>
      <c r="C25" s="1" t="n">
        <v>0.495337</v>
      </c>
      <c r="D25" s="1" t="n">
        <v>0.683784333333333</v>
      </c>
      <c r="E25" s="1" t="n">
        <v>0.0126847</v>
      </c>
      <c r="F25" s="1" t="n">
        <v>0.0126400666666667</v>
      </c>
    </row>
  </sheetData>
  <mergeCells count="4">
    <mergeCell ref="B3:G3"/>
    <mergeCell ref="A6:A9"/>
    <mergeCell ref="A10:A13"/>
    <mergeCell ref="A14:A1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W80"/>
  <sheetViews>
    <sheetView showFormulas="false" showGridLines="true" showRowColHeaders="true" showZeros="true" rightToLeft="false" tabSelected="true" showOutlineSymbols="true" defaultGridColor="true" view="normal" topLeftCell="T33" colorId="64" zoomScale="100" zoomScaleNormal="100" zoomScalePageLayoutView="100" workbookViewId="0">
      <selection pane="topLeft" activeCell="V62" activeCellId="0" sqref="V62"/>
    </sheetView>
  </sheetViews>
  <sheetFormatPr defaultColWidth="8.6796875" defaultRowHeight="12.75" zeroHeight="false" outlineLevelRow="0" outlineLevelCol="0"/>
  <cols>
    <col collapsed="false" customWidth="true" hidden="false" outlineLevel="0" max="19" min="19" style="0" width="14.05"/>
    <col collapsed="false" customWidth="true" hidden="false" outlineLevel="0" max="21" min="21" style="1" width="21"/>
    <col collapsed="false" customWidth="true" hidden="false" outlineLevel="0" max="23" min="22" style="1" width="38.29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  <c r="S4" s="7" t="s">
        <v>31</v>
      </c>
      <c r="T4" s="8" t="s">
        <v>32</v>
      </c>
      <c r="U4" s="8"/>
    </row>
    <row r="5" customFormat="false" ht="12.75" hidden="false" customHeight="false" outlineLevel="0" collapsed="false">
      <c r="C5" s="5" t="n">
        <v>1</v>
      </c>
      <c r="D5" s="5"/>
      <c r="E5" s="9"/>
      <c r="F5" s="1" t="n">
        <v>1.912</v>
      </c>
      <c r="G5" s="1" t="n">
        <v>4.011</v>
      </c>
      <c r="H5" s="9" t="n">
        <v>2.864</v>
      </c>
      <c r="I5" s="9" t="n">
        <v>3.082</v>
      </c>
      <c r="J5" s="9" t="n">
        <v>2.447</v>
      </c>
      <c r="K5" s="9" t="n">
        <v>2.26</v>
      </c>
      <c r="L5" s="9"/>
      <c r="M5" s="9"/>
      <c r="N5" s="9"/>
      <c r="P5" s="9" t="n">
        <v>2.524</v>
      </c>
      <c r="Q5" s="10" t="n">
        <v>2.511</v>
      </c>
      <c r="R5" s="9" t="n">
        <v>1.62106</v>
      </c>
      <c r="S5" s="9" t="n">
        <v>1.62106</v>
      </c>
      <c r="T5" s="1"/>
      <c r="V5" s="1" t="s">
        <v>33</v>
      </c>
      <c r="W5" s="11"/>
    </row>
    <row r="6" customFormat="false" ht="12.75" hidden="false" customHeight="false" outlineLevel="0" collapsed="false">
      <c r="C6" s="5" t="s">
        <v>34</v>
      </c>
      <c r="D6" s="5"/>
      <c r="E6" s="9"/>
      <c r="F6" s="1" t="n">
        <v>11.304</v>
      </c>
      <c r="G6" s="1" t="n">
        <v>14.231</v>
      </c>
      <c r="H6" s="9" t="n">
        <v>12.769</v>
      </c>
      <c r="I6" s="9" t="n">
        <v>12.863</v>
      </c>
      <c r="J6" s="9" t="n">
        <v>11.484</v>
      </c>
      <c r="K6" s="9" t="n">
        <v>18.822</v>
      </c>
      <c r="L6" s="9"/>
      <c r="M6" s="9"/>
      <c r="N6" s="9"/>
      <c r="P6" s="9" t="n">
        <v>13.205</v>
      </c>
      <c r="Q6" s="9" t="n">
        <v>25.381</v>
      </c>
      <c r="R6" s="1" t="n">
        <v>10.864</v>
      </c>
      <c r="S6" s="9" t="n">
        <v>1.62106</v>
      </c>
      <c r="T6" s="1"/>
      <c r="V6" s="1" t="s">
        <v>35</v>
      </c>
      <c r="W6" s="11"/>
    </row>
    <row r="7" customFormat="false" ht="12.75" hidden="false" customHeight="false" outlineLevel="0" collapsed="false">
      <c r="C7" s="5" t="s">
        <v>36</v>
      </c>
      <c r="D7" s="5"/>
      <c r="E7" s="9"/>
      <c r="F7" s="1" t="n">
        <v>12.244</v>
      </c>
      <c r="G7" s="1" t="n">
        <v>15.195</v>
      </c>
      <c r="H7" s="9" t="n">
        <v>13.722</v>
      </c>
      <c r="I7" s="9" t="n">
        <v>13.774</v>
      </c>
      <c r="J7" s="9" t="n">
        <v>12.426</v>
      </c>
      <c r="K7" s="9" t="n">
        <v>20.43</v>
      </c>
      <c r="L7" s="9"/>
      <c r="M7" s="9"/>
      <c r="N7" s="9"/>
      <c r="P7" s="9" t="n">
        <v>14.125</v>
      </c>
      <c r="Q7" s="9" t="n">
        <v>25.386</v>
      </c>
      <c r="R7" s="1" t="n">
        <v>10.8695</v>
      </c>
      <c r="S7" s="9" t="n">
        <v>1.62106</v>
      </c>
      <c r="T7" s="1"/>
      <c r="V7" s="1" t="s">
        <v>37</v>
      </c>
      <c r="W7" s="11"/>
    </row>
    <row r="8" customFormat="false" ht="12.75" hidden="false" customHeight="false" outlineLevel="0" collapsed="false">
      <c r="C8" s="5" t="s">
        <v>38</v>
      </c>
      <c r="D8" s="5"/>
      <c r="E8" s="9"/>
      <c r="F8" s="1" t="n">
        <v>12.803</v>
      </c>
      <c r="G8" s="1" t="n">
        <v>15.779</v>
      </c>
      <c r="H8" s="9" t="n">
        <v>14.302</v>
      </c>
      <c r="I8" s="9" t="n">
        <v>14.328</v>
      </c>
      <c r="J8" s="9" t="n">
        <v>12.973</v>
      </c>
      <c r="K8" s="9" t="n">
        <v>21.36</v>
      </c>
      <c r="L8" s="9"/>
      <c r="M8" s="9"/>
      <c r="N8" s="9"/>
      <c r="P8" s="9" t="n">
        <v>14.632</v>
      </c>
      <c r="Q8" s="9" t="n">
        <v>25.391</v>
      </c>
      <c r="R8" s="1" t="n">
        <v>10.8743</v>
      </c>
      <c r="S8" s="9" t="n">
        <v>1.62106</v>
      </c>
      <c r="T8" s="1"/>
      <c r="V8" s="1" t="s">
        <v>39</v>
      </c>
      <c r="W8" s="11"/>
    </row>
    <row r="9" customFormat="false" ht="12.75" hidden="false" customHeight="false" outlineLevel="0" collapsed="false">
      <c r="C9" s="5" t="s">
        <v>40</v>
      </c>
      <c r="D9" s="5"/>
      <c r="E9" s="9"/>
      <c r="F9" s="1" t="n">
        <v>13.202</v>
      </c>
      <c r="G9" s="1" t="n">
        <v>16.202</v>
      </c>
      <c r="H9" s="9" t="n">
        <v>14.72</v>
      </c>
      <c r="I9" s="9" t="n">
        <v>14.724</v>
      </c>
      <c r="J9" s="9" t="n">
        <v>13.368</v>
      </c>
      <c r="K9" s="9" t="n">
        <v>22.035</v>
      </c>
      <c r="L9" s="9"/>
      <c r="M9" s="9"/>
      <c r="N9" s="9"/>
      <c r="P9" s="9" t="n">
        <v>15.02</v>
      </c>
      <c r="Q9" s="9" t="n">
        <v>25.396</v>
      </c>
      <c r="R9" s="1" t="n">
        <v>10.8797</v>
      </c>
      <c r="S9" s="9" t="n">
        <v>1.62106</v>
      </c>
      <c r="T9" s="1"/>
      <c r="V9" s="1" t="s">
        <v>41</v>
      </c>
      <c r="W9" s="11"/>
    </row>
    <row r="10" customFormat="false" ht="12.75" hidden="false" customHeight="false" outlineLevel="0" collapsed="false">
      <c r="C10" s="5" t="s">
        <v>42</v>
      </c>
      <c r="D10" s="5"/>
      <c r="E10" s="9"/>
      <c r="F10" s="1" t="n">
        <v>13.504</v>
      </c>
      <c r="G10" s="1" t="n">
        <v>16.522</v>
      </c>
      <c r="H10" s="9" t="n">
        <v>15.035</v>
      </c>
      <c r="I10" s="9" t="n">
        <v>15.029</v>
      </c>
      <c r="J10" s="9" t="n">
        <v>13.674</v>
      </c>
      <c r="K10" s="9" t="n">
        <v>22.544</v>
      </c>
      <c r="L10" s="9"/>
      <c r="M10" s="9"/>
      <c r="N10" s="9"/>
      <c r="P10" s="9" t="n">
        <v>15.311</v>
      </c>
      <c r="Q10" s="9" t="n">
        <v>25.399</v>
      </c>
      <c r="R10" s="1" t="n">
        <v>10.8825</v>
      </c>
      <c r="S10" s="9" t="n">
        <v>1.62106</v>
      </c>
      <c r="T10" s="1"/>
      <c r="V10" s="1" t="s">
        <v>43</v>
      </c>
      <c r="W10" s="11"/>
    </row>
    <row r="11" customFormat="false" ht="12.75" hidden="false" customHeight="false" outlineLevel="0" collapsed="false">
      <c r="C11" s="5" t="s">
        <v>44</v>
      </c>
      <c r="D11" s="5"/>
      <c r="E11" s="9"/>
      <c r="F11" s="1" t="n">
        <v>13.756</v>
      </c>
      <c r="G11" s="1" t="n">
        <v>16.8</v>
      </c>
      <c r="H11" s="9" t="n">
        <v>15.299</v>
      </c>
      <c r="I11" s="9" t="n">
        <v>15.286</v>
      </c>
      <c r="J11" s="9" t="n">
        <v>13.923</v>
      </c>
      <c r="K11" s="9" t="n">
        <v>22.985</v>
      </c>
      <c r="L11" s="9"/>
      <c r="M11" s="9"/>
      <c r="N11" s="9"/>
      <c r="P11" s="9" t="n">
        <v>15.557</v>
      </c>
      <c r="Q11" s="9" t="n">
        <v>25.403</v>
      </c>
      <c r="R11" s="1" t="n">
        <v>10.8853</v>
      </c>
      <c r="S11" s="9" t="n">
        <v>1.62106</v>
      </c>
      <c r="T11" s="1"/>
    </row>
    <row r="12" customFormat="false" ht="12.75" hidden="false" customHeight="false" outlineLevel="0" collapsed="false">
      <c r="C12" s="5" t="s">
        <v>45</v>
      </c>
      <c r="D12" s="5"/>
      <c r="E12" s="9"/>
      <c r="F12" s="1" t="n">
        <v>13.969</v>
      </c>
      <c r="G12" s="1" t="n">
        <v>17.032</v>
      </c>
      <c r="H12" s="9" t="n">
        <v>15.531</v>
      </c>
      <c r="I12" s="9" t="n">
        <v>15.507</v>
      </c>
      <c r="J12" s="9" t="n">
        <v>14.138</v>
      </c>
      <c r="K12" s="9" t="n">
        <v>23.354</v>
      </c>
      <c r="L12" s="9"/>
      <c r="M12" s="9"/>
      <c r="N12" s="9"/>
      <c r="P12" s="9" t="n">
        <v>15.766</v>
      </c>
      <c r="Q12" s="9" t="n">
        <v>25.407</v>
      </c>
      <c r="R12" s="1" t="n">
        <v>10.8878</v>
      </c>
      <c r="S12" s="9" t="n">
        <v>1.62106</v>
      </c>
      <c r="T12" s="1"/>
    </row>
    <row r="13" customFormat="false" ht="12.75" hidden="false" customHeight="false" outlineLevel="0" collapsed="false">
      <c r="C13" s="5" t="s">
        <v>46</v>
      </c>
      <c r="D13" s="5"/>
      <c r="E13" s="9"/>
      <c r="F13" s="1" t="n">
        <v>14.161</v>
      </c>
      <c r="G13" s="1" t="n">
        <v>17.239</v>
      </c>
      <c r="H13" s="9" t="n">
        <v>15.739</v>
      </c>
      <c r="I13" s="9" t="n">
        <v>15.705</v>
      </c>
      <c r="J13" s="9" t="n">
        <v>14.329</v>
      </c>
      <c r="K13" s="9" t="n">
        <v>23.676</v>
      </c>
      <c r="L13" s="9"/>
      <c r="M13" s="9"/>
      <c r="N13" s="9"/>
      <c r="P13" s="9" t="n">
        <v>15.941</v>
      </c>
      <c r="Q13" s="9" t="n">
        <v>25.41</v>
      </c>
      <c r="R13" s="1" t="n">
        <v>10.8903</v>
      </c>
      <c r="S13" s="9" t="n">
        <v>1.62106</v>
      </c>
      <c r="T13" s="1"/>
    </row>
    <row r="14" customFormat="false" ht="12.75" hidden="false" customHeight="false" outlineLevel="0" collapsed="false">
      <c r="C14" s="5" t="s">
        <v>47</v>
      </c>
      <c r="D14" s="5"/>
      <c r="E14" s="9"/>
      <c r="F14" s="1" t="n">
        <v>14.332</v>
      </c>
      <c r="G14" s="1" t="n">
        <v>17.429</v>
      </c>
      <c r="H14" s="9" t="n">
        <v>15.925</v>
      </c>
      <c r="I14" s="9" t="n">
        <v>15.88</v>
      </c>
      <c r="J14" s="9" t="n">
        <v>14.5</v>
      </c>
      <c r="K14" s="9" t="n">
        <v>23.964</v>
      </c>
      <c r="L14" s="9"/>
      <c r="M14" s="9"/>
      <c r="N14" s="9"/>
      <c r="P14" s="9" t="n">
        <v>16.106</v>
      </c>
      <c r="Q14" s="9" t="n">
        <v>25.414</v>
      </c>
      <c r="R14" s="1" t="n">
        <v>10.8928</v>
      </c>
      <c r="S14" s="9" t="n">
        <v>1.62106</v>
      </c>
      <c r="T14" s="1"/>
    </row>
    <row r="15" customFormat="false" ht="12.75" hidden="false" customHeight="false" outlineLevel="0" collapsed="false">
      <c r="C15" s="5" t="s">
        <v>48</v>
      </c>
      <c r="D15" s="5"/>
      <c r="E15" s="9"/>
      <c r="F15" s="1" t="n">
        <v>14.486</v>
      </c>
      <c r="G15" s="1" t="n">
        <v>17.6</v>
      </c>
      <c r="H15" s="9" t="n">
        <v>16.091</v>
      </c>
      <c r="I15" s="9" t="n">
        <v>16.037</v>
      </c>
      <c r="J15" s="9" t="n">
        <v>14.657</v>
      </c>
      <c r="K15" s="9" t="n">
        <v>24.222</v>
      </c>
      <c r="L15" s="9"/>
      <c r="M15" s="9"/>
      <c r="N15" s="9"/>
      <c r="P15" s="9" t="n">
        <v>16.256</v>
      </c>
      <c r="Q15" s="9" t="n">
        <v>25.417</v>
      </c>
      <c r="R15" s="1" t="n">
        <v>10.8953</v>
      </c>
      <c r="S15" s="9" t="n">
        <v>1.62106</v>
      </c>
      <c r="T15" s="1"/>
    </row>
    <row r="22" customFormat="false" ht="12.75" hidden="false" customHeight="false" outlineLevel="0" collapsed="false">
      <c r="E22" s="1"/>
    </row>
    <row r="23" customFormat="false" ht="12.75" hidden="false" customHeight="false" outlineLevel="0" collapsed="false">
      <c r="E23" s="1"/>
    </row>
    <row r="24" customFormat="false" ht="12.75" hidden="false" customHeight="false" outlineLevel="0" collapsed="false">
      <c r="E24" s="1" t="s">
        <v>49</v>
      </c>
    </row>
    <row r="25" customFormat="false" ht="12.75" hidden="false" customHeight="false" outlineLevel="0" collapsed="false">
      <c r="E25" s="1" t="s">
        <v>50</v>
      </c>
    </row>
    <row r="26" customFormat="false" ht="12.75" hidden="false" customHeight="false" outlineLevel="0" collapsed="false">
      <c r="E26" s="1" t="s">
        <v>51</v>
      </c>
    </row>
    <row r="27" customFormat="false" ht="12.75" hidden="false" customHeight="false" outlineLevel="0" collapsed="false">
      <c r="E27" s="1" t="s">
        <v>52</v>
      </c>
    </row>
    <row r="28" customFormat="false" ht="12.75" hidden="false" customHeight="false" outlineLevel="0" collapsed="false">
      <c r="E28" s="1" t="s">
        <v>53</v>
      </c>
    </row>
    <row r="29" customFormat="false" ht="12.75" hidden="false" customHeight="false" outlineLevel="0" collapsed="false">
      <c r="E29" s="1" t="s">
        <v>54</v>
      </c>
    </row>
    <row r="30" customFormat="false" ht="12.75" hidden="false" customHeight="false" outlineLevel="0" collapsed="false">
      <c r="E30" s="1" t="s">
        <v>55</v>
      </c>
    </row>
    <row r="31" customFormat="false" ht="12.75" hidden="false" customHeight="false" outlineLevel="0" collapsed="false">
      <c r="E31" s="1" t="s">
        <v>56</v>
      </c>
    </row>
    <row r="32" customFormat="false" ht="12.75" hidden="false" customHeight="false" outlineLevel="0" collapsed="false">
      <c r="E32" s="1" t="s">
        <v>57</v>
      </c>
    </row>
    <row r="33" customFormat="false" ht="12.75" hidden="false" customHeight="false" outlineLevel="0" collapsed="false">
      <c r="E33" s="1" t="s">
        <v>58</v>
      </c>
    </row>
    <row r="34" customFormat="false" ht="12.75" hidden="false" customHeight="false" outlineLevel="0" collapsed="false">
      <c r="E34" s="1" t="s">
        <v>59</v>
      </c>
    </row>
    <row r="43" customFormat="false" ht="23.85" hidden="false" customHeight="false" outlineLevel="0" collapsed="false">
      <c r="F43" s="12" t="s">
        <v>60</v>
      </c>
      <c r="G43" s="11" t="s">
        <v>61</v>
      </c>
      <c r="H43" s="11" t="s">
        <v>62</v>
      </c>
    </row>
    <row r="44" customFormat="false" ht="12.75" hidden="false" customHeight="false" outlineLevel="0" collapsed="false">
      <c r="C44" s="1" t="n">
        <v>0</v>
      </c>
      <c r="D44" s="1" t="n">
        <v>1000</v>
      </c>
      <c r="F44" s="1" t="n">
        <v>1</v>
      </c>
      <c r="G44" s="1" t="n">
        <v>1</v>
      </c>
      <c r="H44" s="1" t="n">
        <v>100</v>
      </c>
    </row>
    <row r="45" customFormat="false" ht="12.75" hidden="false" customHeight="false" outlineLevel="0" collapsed="false">
      <c r="C45" s="1" t="n">
        <v>1000001</v>
      </c>
      <c r="D45" s="1" t="n">
        <v>1001001</v>
      </c>
      <c r="F45" s="1" t="n">
        <v>2</v>
      </c>
      <c r="G45" s="1" t="n">
        <v>21</v>
      </c>
      <c r="H45" s="1" t="n">
        <v>130</v>
      </c>
    </row>
    <row r="46" customFormat="false" ht="12.75" hidden="false" customHeight="false" outlineLevel="0" collapsed="false">
      <c r="C46" s="1" t="n">
        <v>2000002</v>
      </c>
      <c r="D46" s="1" t="n">
        <v>2001002</v>
      </c>
      <c r="F46" s="1" t="n">
        <v>3</v>
      </c>
      <c r="G46" s="1" t="n">
        <v>41</v>
      </c>
      <c r="H46" s="1" t="n">
        <v>150</v>
      </c>
    </row>
    <row r="47" customFormat="false" ht="12.75" hidden="false" customHeight="false" outlineLevel="0" collapsed="false">
      <c r="C47" s="1" t="n">
        <v>3000003</v>
      </c>
      <c r="D47" s="1" t="n">
        <v>3001003</v>
      </c>
      <c r="F47" s="1" t="n">
        <v>4</v>
      </c>
      <c r="G47" s="1" t="n">
        <v>61</v>
      </c>
      <c r="H47" s="1" t="n">
        <v>170</v>
      </c>
    </row>
    <row r="48" customFormat="false" ht="12.75" hidden="false" customHeight="false" outlineLevel="0" collapsed="false">
      <c r="C48" s="1" t="n">
        <v>4000004</v>
      </c>
      <c r="D48" s="1" t="n">
        <v>4001004</v>
      </c>
      <c r="F48" s="1" t="n">
        <v>5</v>
      </c>
      <c r="G48" s="1" t="n">
        <v>81</v>
      </c>
      <c r="H48" s="1" t="n">
        <v>190</v>
      </c>
    </row>
    <row r="49" customFormat="false" ht="12.75" hidden="false" customHeight="false" outlineLevel="0" collapsed="false">
      <c r="C49" s="1" t="n">
        <v>101</v>
      </c>
      <c r="D49" s="1" t="n">
        <v>1101</v>
      </c>
      <c r="F49" s="1" t="n">
        <v>6</v>
      </c>
      <c r="G49" s="1" t="n">
        <v>12</v>
      </c>
      <c r="H49" s="1" t="n">
        <v>111</v>
      </c>
    </row>
    <row r="50" customFormat="false" ht="12.75" hidden="false" customHeight="false" outlineLevel="0" collapsed="false">
      <c r="C50" s="1" t="n">
        <v>1000102</v>
      </c>
      <c r="D50" s="1" t="n">
        <v>1001102</v>
      </c>
      <c r="F50" s="1" t="n">
        <v>7</v>
      </c>
      <c r="G50" s="1" t="n">
        <v>32</v>
      </c>
      <c r="H50" s="1" t="n">
        <v>141</v>
      </c>
    </row>
    <row r="51" customFormat="false" ht="12.75" hidden="false" customHeight="false" outlineLevel="0" collapsed="false">
      <c r="C51" s="1" t="n">
        <v>2000103</v>
      </c>
      <c r="D51" s="1" t="n">
        <v>2001103</v>
      </c>
      <c r="F51" s="1" t="n">
        <v>8</v>
      </c>
      <c r="G51" s="1" t="n">
        <v>52</v>
      </c>
      <c r="H51" s="1" t="n">
        <v>161</v>
      </c>
    </row>
    <row r="52" customFormat="false" ht="12.75" hidden="false" customHeight="false" outlineLevel="0" collapsed="false">
      <c r="C52" s="1" t="n">
        <v>3000104</v>
      </c>
      <c r="D52" s="1" t="n">
        <v>3001104</v>
      </c>
      <c r="F52" s="1" t="n">
        <v>9</v>
      </c>
      <c r="G52" s="1" t="n">
        <v>72</v>
      </c>
      <c r="H52" s="1" t="n">
        <v>181</v>
      </c>
    </row>
    <row r="53" customFormat="false" ht="12.75" hidden="false" customHeight="false" outlineLevel="0" collapsed="false">
      <c r="C53" s="1" t="n">
        <v>4000105</v>
      </c>
      <c r="D53" s="1" t="n">
        <v>4001105</v>
      </c>
      <c r="F53" s="1" t="n">
        <v>10</v>
      </c>
      <c r="G53" s="1" t="n">
        <v>92</v>
      </c>
      <c r="H53" s="1" t="n">
        <v>201</v>
      </c>
    </row>
    <row r="54" customFormat="false" ht="12.75" hidden="false" customHeight="false" outlineLevel="0" collapsed="false">
      <c r="C54" s="1" t="n">
        <v>202</v>
      </c>
      <c r="D54" s="1" t="n">
        <v>1202</v>
      </c>
      <c r="F54" s="1" t="n">
        <v>11</v>
      </c>
      <c r="G54" s="1" t="n">
        <v>23</v>
      </c>
      <c r="H54" s="1" t="n">
        <v>122</v>
      </c>
    </row>
    <row r="55" customFormat="false" ht="12.75" hidden="false" customHeight="false" outlineLevel="0" collapsed="false">
      <c r="C55" s="1" t="n">
        <v>1000203</v>
      </c>
      <c r="D55" s="1" t="n">
        <v>1001203</v>
      </c>
      <c r="F55" s="1" t="n">
        <v>12</v>
      </c>
      <c r="G55" s="1" t="n">
        <v>43</v>
      </c>
      <c r="H55" s="1" t="n">
        <v>152</v>
      </c>
    </row>
    <row r="56" customFormat="false" ht="12.75" hidden="false" customHeight="false" outlineLevel="0" collapsed="false">
      <c r="C56" s="1" t="n">
        <v>2000204</v>
      </c>
      <c r="D56" s="1" t="n">
        <v>2001204</v>
      </c>
      <c r="F56" s="1" t="n">
        <v>13</v>
      </c>
      <c r="G56" s="1" t="n">
        <v>63</v>
      </c>
      <c r="H56" s="1" t="n">
        <v>172</v>
      </c>
    </row>
    <row r="57" customFormat="false" ht="12.75" hidden="false" customHeight="false" outlineLevel="0" collapsed="false">
      <c r="C57" s="1" t="n">
        <v>3000205</v>
      </c>
      <c r="D57" s="1" t="n">
        <v>3001205</v>
      </c>
      <c r="F57" s="1" t="n">
        <v>14</v>
      </c>
      <c r="G57" s="1" t="n">
        <v>83</v>
      </c>
      <c r="H57" s="1" t="n">
        <v>192</v>
      </c>
    </row>
    <row r="58" customFormat="false" ht="12.75" hidden="false" customHeight="false" outlineLevel="0" collapsed="false">
      <c r="C58" s="1" t="n">
        <v>4000206</v>
      </c>
      <c r="D58" s="1" t="n">
        <v>4001206</v>
      </c>
      <c r="F58" s="1" t="n">
        <v>15</v>
      </c>
      <c r="G58" s="1" t="n">
        <v>103</v>
      </c>
      <c r="H58" s="1" t="n">
        <v>212</v>
      </c>
    </row>
    <row r="71" customFormat="false" ht="12.75" hidden="false" customHeight="false" outlineLevel="0" collapsed="false">
      <c r="H71" s="1" t="s">
        <v>50</v>
      </c>
    </row>
    <row r="72" customFormat="false" ht="12.75" hidden="false" customHeight="false" outlineLevel="0" collapsed="false">
      <c r="H72" s="1" t="s">
        <v>51</v>
      </c>
    </row>
    <row r="73" customFormat="false" ht="12.75" hidden="false" customHeight="false" outlineLevel="0" collapsed="false">
      <c r="H73" s="1" t="s">
        <v>52</v>
      </c>
    </row>
    <row r="74" customFormat="false" ht="12.75" hidden="false" customHeight="false" outlineLevel="0" collapsed="false">
      <c r="H74" s="1" t="s">
        <v>53</v>
      </c>
    </row>
    <row r="75" customFormat="false" ht="12.75" hidden="false" customHeight="false" outlineLevel="0" collapsed="false">
      <c r="H75" s="1" t="s">
        <v>54</v>
      </c>
    </row>
    <row r="76" customFormat="false" ht="12.75" hidden="false" customHeight="false" outlineLevel="0" collapsed="false">
      <c r="H76" s="1" t="s">
        <v>55</v>
      </c>
    </row>
    <row r="77" customFormat="false" ht="12.75" hidden="false" customHeight="false" outlineLevel="0" collapsed="false">
      <c r="H77" s="1" t="s">
        <v>56</v>
      </c>
    </row>
    <row r="78" customFormat="false" ht="12.75" hidden="false" customHeight="false" outlineLevel="0" collapsed="false">
      <c r="H78" s="1" t="s">
        <v>57</v>
      </c>
    </row>
    <row r="79" customFormat="false" ht="12.75" hidden="false" customHeight="false" outlineLevel="0" collapsed="false">
      <c r="H79" s="1" t="s">
        <v>58</v>
      </c>
    </row>
    <row r="80" customFormat="false" ht="12.75" hidden="false" customHeight="false" outlineLevel="0" collapsed="false">
      <c r="H80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S80"/>
  <sheetViews>
    <sheetView showFormulas="false" showGridLines="true" showRowColHeaders="true" showZeros="true" rightToLeft="false" tabSelected="false" showOutlineSymbols="true" defaultGridColor="true" view="normal" topLeftCell="H57" colorId="64" zoomScale="100" zoomScaleNormal="100" zoomScalePageLayoutView="100" workbookViewId="0">
      <selection pane="topLeft" activeCell="Y89" activeCellId="0" sqref="Y89"/>
    </sheetView>
  </sheetViews>
  <sheetFormatPr defaultColWidth="8.6796875" defaultRowHeight="12.75" zeroHeight="false" outlineLevelRow="0" outlineLevelCol="0"/>
  <cols>
    <col collapsed="false" customWidth="true" hidden="false" outlineLevel="0" max="19" min="19" style="1" width="43.29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</row>
    <row r="5" customFormat="false" ht="12.75" hidden="false" customHeight="false" outlineLevel="0" collapsed="false">
      <c r="C5" s="5" t="n">
        <v>1</v>
      </c>
      <c r="D5" s="7"/>
      <c r="E5" s="10"/>
      <c r="F5" s="10" t="n">
        <v>1.951</v>
      </c>
      <c r="G5" s="10" t="n">
        <v>3.738</v>
      </c>
      <c r="H5" s="10" t="n">
        <v>2.751</v>
      </c>
      <c r="I5" s="10" t="n">
        <v>3.754</v>
      </c>
      <c r="J5" s="10" t="n">
        <v>2.741</v>
      </c>
      <c r="K5" s="10" t="n">
        <v>2.099</v>
      </c>
      <c r="L5" s="10"/>
      <c r="M5" s="10"/>
      <c r="N5" s="10"/>
      <c r="O5" s="10"/>
      <c r="P5" s="10" t="n">
        <v>3.414</v>
      </c>
      <c r="Q5" s="1" t="n">
        <v>3.443</v>
      </c>
      <c r="R5" s="1" t="n">
        <v>6.08422</v>
      </c>
      <c r="S5" s="11" t="s">
        <v>63</v>
      </c>
    </row>
    <row r="6" customFormat="false" ht="12.75" hidden="false" customHeight="false" outlineLevel="0" collapsed="false">
      <c r="C6" s="5" t="s">
        <v>34</v>
      </c>
      <c r="D6" s="5"/>
      <c r="E6" s="9"/>
      <c r="F6" s="9" t="n">
        <v>10.952</v>
      </c>
      <c r="G6" s="9" t="n">
        <v>12.785</v>
      </c>
      <c r="H6" s="9" t="n">
        <v>11.569</v>
      </c>
      <c r="I6" s="9" t="n">
        <v>12.848</v>
      </c>
      <c r="J6" s="9" t="n">
        <v>11.587</v>
      </c>
      <c r="K6" s="9" t="n">
        <v>18.331</v>
      </c>
      <c r="L6" s="9"/>
      <c r="M6" s="9"/>
      <c r="N6" s="9"/>
      <c r="O6" s="9"/>
      <c r="P6" s="9" t="n">
        <v>13.174</v>
      </c>
      <c r="Q6" s="1" t="n">
        <v>24.922</v>
      </c>
      <c r="R6" s="1" t="n">
        <v>10.3515</v>
      </c>
      <c r="S6" s="11" t="s">
        <v>64</v>
      </c>
    </row>
    <row r="7" customFormat="false" ht="12.75" hidden="false" customHeight="false" outlineLevel="0" collapsed="false">
      <c r="C7" s="5" t="s">
        <v>36</v>
      </c>
      <c r="D7" s="5"/>
      <c r="E7" s="9"/>
      <c r="F7" s="9" t="n">
        <v>11.92</v>
      </c>
      <c r="G7" s="9" t="n">
        <v>13.701</v>
      </c>
      <c r="H7" s="9" t="n">
        <v>12.55</v>
      </c>
      <c r="I7" s="9" t="n">
        <v>13.766</v>
      </c>
      <c r="J7" s="9" t="n">
        <v>12.562</v>
      </c>
      <c r="K7" s="9" t="n">
        <v>19.978</v>
      </c>
      <c r="L7" s="9"/>
      <c r="M7" s="9"/>
      <c r="N7" s="9"/>
      <c r="O7" s="9"/>
      <c r="P7" s="9" t="n">
        <v>14.097</v>
      </c>
      <c r="Q7" s="1" t="n">
        <v>24.931</v>
      </c>
      <c r="R7" s="1" t="n">
        <v>10.4539</v>
      </c>
      <c r="S7" s="11" t="s">
        <v>65</v>
      </c>
    </row>
    <row r="8" customFormat="false" ht="12.75" hidden="false" customHeight="false" outlineLevel="0" collapsed="false">
      <c r="C8" s="5" t="s">
        <v>38</v>
      </c>
      <c r="D8" s="5"/>
      <c r="E8" s="9"/>
      <c r="F8" s="9" t="n">
        <v>12.526</v>
      </c>
      <c r="G8" s="9" t="n">
        <v>14.25</v>
      </c>
      <c r="H8" s="9" t="n">
        <v>13.195</v>
      </c>
      <c r="I8" s="9" t="n">
        <v>14.312</v>
      </c>
      <c r="J8" s="9" t="n">
        <v>13.207</v>
      </c>
      <c r="K8" s="9" t="n">
        <v>20.98</v>
      </c>
      <c r="L8" s="9"/>
      <c r="M8" s="9"/>
      <c r="N8" s="9"/>
      <c r="O8" s="9"/>
      <c r="P8" s="9" t="n">
        <v>14.689</v>
      </c>
      <c r="Q8" s="1" t="n">
        <v>24.937</v>
      </c>
      <c r="R8" s="1" t="n">
        <v>10.5552</v>
      </c>
      <c r="S8" s="11" t="s">
        <v>66</v>
      </c>
    </row>
    <row r="9" customFormat="false" ht="12.75" hidden="false" customHeight="false" outlineLevel="0" collapsed="false">
      <c r="C9" s="5" t="s">
        <v>40</v>
      </c>
      <c r="D9" s="5"/>
      <c r="E9" s="9"/>
      <c r="F9" s="9" t="n">
        <v>13.004</v>
      </c>
      <c r="G9" s="9" t="n">
        <v>14.643</v>
      </c>
      <c r="H9" s="9" t="n">
        <v>13.741</v>
      </c>
      <c r="I9" s="9" t="n">
        <v>14.702</v>
      </c>
      <c r="J9" s="9" t="n">
        <v>13.748</v>
      </c>
      <c r="K9" s="9" t="n">
        <v>21.743</v>
      </c>
      <c r="L9" s="9"/>
      <c r="M9" s="9"/>
      <c r="N9" s="9"/>
      <c r="O9" s="9"/>
      <c r="P9" s="9" t="n">
        <v>15.101</v>
      </c>
      <c r="Q9" s="1" t="n">
        <v>24.942</v>
      </c>
      <c r="R9" s="1" t="n">
        <v>10.6628</v>
      </c>
      <c r="S9" s="11" t="s">
        <v>67</v>
      </c>
    </row>
    <row r="10" customFormat="false" ht="12.75" hidden="false" customHeight="false" outlineLevel="0" collapsed="false">
      <c r="C10" s="5" t="s">
        <v>42</v>
      </c>
      <c r="D10" s="5"/>
      <c r="E10" s="9"/>
      <c r="F10" s="9" t="n">
        <v>13.425</v>
      </c>
      <c r="G10" s="9" t="n">
        <v>14.949</v>
      </c>
      <c r="H10" s="9" t="n">
        <v>14.329</v>
      </c>
      <c r="I10" s="9" t="n">
        <v>15.009</v>
      </c>
      <c r="J10" s="9" t="n">
        <v>14.315</v>
      </c>
      <c r="K10" s="9" t="n">
        <v>22.409</v>
      </c>
      <c r="L10" s="9"/>
      <c r="M10" s="9"/>
      <c r="N10" s="9"/>
      <c r="O10" s="9"/>
      <c r="P10" s="9" t="n">
        <v>15.447</v>
      </c>
      <c r="Q10" s="1" t="n">
        <v>24.952</v>
      </c>
      <c r="R10" s="1" t="n">
        <v>10.7736</v>
      </c>
      <c r="S10" s="11" t="s">
        <v>68</v>
      </c>
    </row>
    <row r="11" customFormat="false" ht="12.75" hidden="false" customHeight="false" outlineLevel="0" collapsed="false">
      <c r="C11" s="5" t="s">
        <v>44</v>
      </c>
      <c r="D11" s="5"/>
      <c r="E11" s="9"/>
      <c r="F11" s="9" t="n">
        <v>13.835</v>
      </c>
      <c r="G11" s="9" t="n">
        <v>15.207</v>
      </c>
      <c r="H11" s="9" t="n">
        <v>14.908</v>
      </c>
      <c r="I11" s="9" t="n">
        <v>15.269</v>
      </c>
      <c r="J11" s="9" t="n">
        <v>14.889</v>
      </c>
      <c r="K11" s="9" t="n">
        <v>23.021</v>
      </c>
      <c r="L11" s="9"/>
      <c r="M11" s="9"/>
      <c r="N11" s="9"/>
      <c r="O11" s="9"/>
      <c r="P11" s="9" t="n">
        <v>15.757</v>
      </c>
      <c r="Q11" s="1" t="n">
        <v>24.956</v>
      </c>
      <c r="R11" s="1" t="n">
        <v>10.8916</v>
      </c>
    </row>
    <row r="12" customFormat="false" ht="12.75" hidden="false" customHeight="false" outlineLevel="0" collapsed="false">
      <c r="C12" s="5" t="s">
        <v>45</v>
      </c>
      <c r="D12" s="5"/>
      <c r="E12" s="9"/>
      <c r="F12" s="9" t="n">
        <v>14.272</v>
      </c>
      <c r="G12" s="9" t="n">
        <v>15.43</v>
      </c>
      <c r="H12" s="9" t="n">
        <v>15.56</v>
      </c>
      <c r="I12" s="9" t="n">
        <v>15.492</v>
      </c>
      <c r="J12" s="9" t="n">
        <v>15.54</v>
      </c>
      <c r="K12" s="9" t="n">
        <v>23.612</v>
      </c>
      <c r="L12" s="9"/>
      <c r="M12" s="9"/>
      <c r="N12" s="9"/>
      <c r="O12" s="9"/>
      <c r="P12" s="9" t="n">
        <v>16.074</v>
      </c>
      <c r="Q12" s="1" t="n">
        <v>24.961</v>
      </c>
      <c r="R12" s="1" t="n">
        <v>11.0131</v>
      </c>
    </row>
    <row r="13" customFormat="false" ht="12.75" hidden="false" customHeight="false" outlineLevel="0" collapsed="false">
      <c r="C13" s="5" t="s">
        <v>46</v>
      </c>
      <c r="D13" s="5"/>
      <c r="E13" s="9"/>
      <c r="F13" s="9" t="n">
        <v>14.733</v>
      </c>
      <c r="G13" s="9" t="n">
        <v>15.626</v>
      </c>
      <c r="H13" s="9" t="n">
        <v>16.389</v>
      </c>
      <c r="I13" s="9" t="n">
        <v>15.685</v>
      </c>
      <c r="J13" s="9" t="n">
        <v>16.304</v>
      </c>
      <c r="K13" s="9" t="n">
        <v>24.217</v>
      </c>
      <c r="L13" s="9"/>
      <c r="M13" s="9"/>
      <c r="N13" s="9"/>
      <c r="O13" s="9"/>
      <c r="P13" s="9" t="n">
        <v>16.396</v>
      </c>
      <c r="Q13" s="1" t="n">
        <v>24.967</v>
      </c>
      <c r="R13" s="1" t="n">
        <v>11.1353</v>
      </c>
    </row>
    <row r="14" customFormat="false" ht="12.75" hidden="false" customHeight="false" outlineLevel="0" collapsed="false">
      <c r="C14" s="5" t="s">
        <v>47</v>
      </c>
      <c r="D14" s="5"/>
      <c r="E14" s="9"/>
      <c r="F14" s="9" t="n">
        <v>15.181</v>
      </c>
      <c r="G14" s="9" t="n">
        <v>15.805</v>
      </c>
      <c r="H14" s="9" t="n">
        <v>17.189</v>
      </c>
      <c r="I14" s="9" t="n">
        <v>15.866</v>
      </c>
      <c r="J14" s="9" t="n">
        <v>17.086</v>
      </c>
      <c r="K14" s="9" t="n">
        <v>24.784</v>
      </c>
      <c r="L14" s="9"/>
      <c r="M14" s="9"/>
      <c r="N14" s="9"/>
      <c r="O14" s="9"/>
      <c r="P14" s="9" t="n">
        <v>16.693</v>
      </c>
      <c r="Q14" s="1" t="n">
        <v>24.971</v>
      </c>
      <c r="R14" s="1" t="n">
        <v>11.2651</v>
      </c>
    </row>
    <row r="15" customFormat="false" ht="12.75" hidden="false" customHeight="false" outlineLevel="0" collapsed="false">
      <c r="C15" s="5" t="s">
        <v>48</v>
      </c>
      <c r="D15" s="5"/>
      <c r="E15" s="9"/>
      <c r="F15" s="9" t="n">
        <v>15.691</v>
      </c>
      <c r="G15" s="9" t="n">
        <v>15.965</v>
      </c>
      <c r="H15" s="9" t="n">
        <v>18.154</v>
      </c>
      <c r="I15" s="9" t="n">
        <v>16.028</v>
      </c>
      <c r="J15" s="9" t="n">
        <v>18.028</v>
      </c>
      <c r="K15" s="9" t="n">
        <v>25.403</v>
      </c>
      <c r="L15" s="9"/>
      <c r="M15" s="9"/>
      <c r="N15" s="9"/>
      <c r="O15" s="9"/>
      <c r="P15" s="9" t="n">
        <v>17.007</v>
      </c>
      <c r="Q15" s="1" t="n">
        <v>24.976</v>
      </c>
      <c r="R15" s="1" t="n">
        <v>14.0494</v>
      </c>
    </row>
    <row r="22" customFormat="false" ht="12.75" hidden="false" customHeight="false" outlineLevel="0" collapsed="false">
      <c r="E22" s="1" t="s">
        <v>49</v>
      </c>
      <c r="F22" s="1" t="n">
        <v>6.08422</v>
      </c>
    </row>
    <row r="23" customFormat="false" ht="12.75" hidden="false" customHeight="false" outlineLevel="0" collapsed="false">
      <c r="E23" s="1" t="s">
        <v>50</v>
      </c>
      <c r="F23" s="1" t="n">
        <v>10.3515</v>
      </c>
    </row>
    <row r="24" customFormat="false" ht="12.75" hidden="false" customHeight="false" outlineLevel="0" collapsed="false">
      <c r="E24" s="1" t="s">
        <v>51</v>
      </c>
      <c r="F24" s="1" t="n">
        <v>10.4539</v>
      </c>
    </row>
    <row r="25" customFormat="false" ht="12.75" hidden="false" customHeight="false" outlineLevel="0" collapsed="false">
      <c r="E25" s="1" t="s">
        <v>52</v>
      </c>
      <c r="F25" s="1" t="n">
        <v>10.5552</v>
      </c>
    </row>
    <row r="26" customFormat="false" ht="12.75" hidden="false" customHeight="false" outlineLevel="0" collapsed="false">
      <c r="E26" s="1" t="s">
        <v>53</v>
      </c>
      <c r="F26" s="1" t="n">
        <v>10.6628</v>
      </c>
    </row>
    <row r="27" customFormat="false" ht="12.75" hidden="false" customHeight="false" outlineLevel="0" collapsed="false">
      <c r="E27" s="1" t="s">
        <v>54</v>
      </c>
      <c r="F27" s="1" t="n">
        <v>10.7736</v>
      </c>
    </row>
    <row r="28" customFormat="false" ht="12.75" hidden="false" customHeight="false" outlineLevel="0" collapsed="false">
      <c r="E28" s="1" t="s">
        <v>55</v>
      </c>
      <c r="F28" s="1" t="n">
        <v>10.8916</v>
      </c>
    </row>
    <row r="29" customFormat="false" ht="12.75" hidden="false" customHeight="false" outlineLevel="0" collapsed="false">
      <c r="E29" s="1" t="s">
        <v>56</v>
      </c>
      <c r="F29" s="1" t="n">
        <v>11.0131</v>
      </c>
    </row>
    <row r="30" customFormat="false" ht="12.75" hidden="false" customHeight="false" outlineLevel="0" collapsed="false">
      <c r="E30" s="1" t="s">
        <v>57</v>
      </c>
      <c r="F30" s="1" t="n">
        <v>11.1353</v>
      </c>
    </row>
    <row r="31" customFormat="false" ht="12.75" hidden="false" customHeight="false" outlineLevel="0" collapsed="false">
      <c r="E31" s="1" t="s">
        <v>58</v>
      </c>
      <c r="F31" s="1" t="n">
        <v>11.2651</v>
      </c>
    </row>
    <row r="32" customFormat="false" ht="12.75" hidden="false" customHeight="false" outlineLevel="0" collapsed="false">
      <c r="E32" s="1" t="s">
        <v>59</v>
      </c>
      <c r="F32" s="1" t="n">
        <v>14.0494</v>
      </c>
    </row>
    <row r="45" customFormat="false" ht="23.85" hidden="false" customHeight="false" outlineLevel="0" collapsed="false">
      <c r="G45" s="12" t="s">
        <v>60</v>
      </c>
      <c r="H45" s="11" t="s">
        <v>61</v>
      </c>
      <c r="I45" s="11" t="s">
        <v>62</v>
      </c>
    </row>
    <row r="46" customFormat="false" ht="12.75" hidden="false" customHeight="false" outlineLevel="0" collapsed="false">
      <c r="C46" s="1" t="n">
        <v>90076129</v>
      </c>
      <c r="D46" s="1" t="n">
        <v>90076129</v>
      </c>
      <c r="E46" s="1" t="n">
        <v>17985581</v>
      </c>
      <c r="G46" s="1" t="n">
        <v>1</v>
      </c>
      <c r="H46" s="1" t="n">
        <f aca="false">MOD(D46,1000)</f>
        <v>129</v>
      </c>
      <c r="I46" s="1" t="n">
        <f aca="false">MOD(E46,1000)</f>
        <v>581</v>
      </c>
    </row>
    <row r="47" customFormat="false" ht="12.75" hidden="false" customHeight="false" outlineLevel="0" collapsed="false">
      <c r="C47" s="1" t="n">
        <v>84264178</v>
      </c>
      <c r="D47" s="1" t="n">
        <v>84264178</v>
      </c>
      <c r="E47" s="1" t="n">
        <v>83893650</v>
      </c>
      <c r="G47" s="1" t="n">
        <v>2</v>
      </c>
      <c r="H47" s="1" t="n">
        <f aca="false">MOD(D47,1000)</f>
        <v>178</v>
      </c>
      <c r="I47" s="1" t="n">
        <f aca="false">MOD(E47,1000)</f>
        <v>650</v>
      </c>
    </row>
    <row r="48" customFormat="false" ht="12.75" hidden="false" customHeight="false" outlineLevel="0" collapsed="false">
      <c r="C48" s="1" t="n">
        <v>94050147</v>
      </c>
      <c r="D48" s="1" t="n">
        <v>94050147</v>
      </c>
      <c r="E48" s="1" t="n">
        <v>9162479</v>
      </c>
      <c r="G48" s="1" t="n">
        <v>3</v>
      </c>
      <c r="H48" s="1" t="n">
        <f aca="false">MOD(D48,1000)</f>
        <v>147</v>
      </c>
      <c r="I48" s="1" t="n">
        <f aca="false">MOD(E48,1000)</f>
        <v>479</v>
      </c>
    </row>
    <row r="49" customFormat="false" ht="12.75" hidden="false" customHeight="false" outlineLevel="0" collapsed="false">
      <c r="C49" s="1" t="n">
        <v>88109250</v>
      </c>
      <c r="D49" s="1" t="n">
        <v>88109250</v>
      </c>
      <c r="E49" s="1" t="n">
        <v>78798477</v>
      </c>
      <c r="G49" s="1" t="n">
        <v>4</v>
      </c>
      <c r="H49" s="1" t="n">
        <f aca="false">MOD(D49,1000)</f>
        <v>250</v>
      </c>
      <c r="I49" s="1" t="n">
        <f aca="false">MOD(E49,1000)</f>
        <v>477</v>
      </c>
    </row>
    <row r="50" customFormat="false" ht="12.75" hidden="false" customHeight="false" outlineLevel="0" collapsed="false">
      <c r="C50" s="1" t="n">
        <v>78897753</v>
      </c>
      <c r="D50" s="1" t="n">
        <v>78897753</v>
      </c>
      <c r="E50" s="1" t="n">
        <v>22407898</v>
      </c>
      <c r="G50" s="1" t="n">
        <v>5</v>
      </c>
      <c r="H50" s="1" t="n">
        <f aca="false">MOD(D50,1000)</f>
        <v>753</v>
      </c>
      <c r="I50" s="1" t="n">
        <f aca="false">MOD(E50,1000)</f>
        <v>898</v>
      </c>
    </row>
    <row r="51" customFormat="false" ht="12.75" hidden="false" customHeight="false" outlineLevel="0" collapsed="false">
      <c r="C51" s="1" t="n">
        <v>29725301</v>
      </c>
      <c r="D51" s="1" t="n">
        <v>29725301</v>
      </c>
      <c r="E51" s="1" t="n">
        <v>29438777</v>
      </c>
      <c r="G51" s="1" t="n">
        <v>6</v>
      </c>
      <c r="H51" s="1" t="n">
        <f aca="false">MOD(D51,1000)</f>
        <v>301</v>
      </c>
      <c r="I51" s="1" t="n">
        <f aca="false">MOD(E51,1000)</f>
        <v>777</v>
      </c>
    </row>
    <row r="52" customFormat="false" ht="12.75" hidden="false" customHeight="false" outlineLevel="0" collapsed="false">
      <c r="C52" s="1" t="n">
        <v>80888703</v>
      </c>
      <c r="D52" s="1" t="n">
        <v>80888703</v>
      </c>
      <c r="E52" s="1" t="n">
        <v>60926810</v>
      </c>
      <c r="G52" s="1" t="n">
        <v>7</v>
      </c>
      <c r="H52" s="1" t="n">
        <f aca="false">MOD(D52,1000)</f>
        <v>703</v>
      </c>
      <c r="I52" s="1" t="n">
        <f aca="false">MOD(E52,1000)</f>
        <v>810</v>
      </c>
    </row>
    <row r="53" customFormat="false" ht="12.75" hidden="false" customHeight="false" outlineLevel="0" collapsed="false">
      <c r="C53" s="1" t="n">
        <v>70329018</v>
      </c>
      <c r="D53" s="1" t="n">
        <v>70329018</v>
      </c>
      <c r="E53" s="1" t="n">
        <v>55516405</v>
      </c>
      <c r="G53" s="1" t="n">
        <v>8</v>
      </c>
      <c r="H53" s="1" t="n">
        <f aca="false">MOD(D53,1000)</f>
        <v>18</v>
      </c>
      <c r="I53" s="1" t="n">
        <f aca="false">MOD(E53,1000)</f>
        <v>405</v>
      </c>
    </row>
    <row r="54" customFormat="false" ht="12.75" hidden="false" customHeight="false" outlineLevel="0" collapsed="false">
      <c r="C54" s="1" t="n">
        <v>80982334</v>
      </c>
      <c r="D54" s="1" t="n">
        <v>80982334</v>
      </c>
      <c r="E54" s="1" t="n">
        <v>52559139</v>
      </c>
      <c r="G54" s="1" t="n">
        <v>9</v>
      </c>
      <c r="H54" s="1" t="n">
        <f aca="false">MOD(D54,1000)</f>
        <v>334</v>
      </c>
      <c r="I54" s="1" t="n">
        <f aca="false">MOD(E54,1000)</f>
        <v>139</v>
      </c>
    </row>
    <row r="55" customFormat="false" ht="12.75" hidden="false" customHeight="false" outlineLevel="0" collapsed="false">
      <c r="C55" s="1" t="n">
        <v>88076392</v>
      </c>
      <c r="D55" s="1" t="n">
        <v>88076392</v>
      </c>
      <c r="E55" s="1" t="n">
        <v>67214434</v>
      </c>
      <c r="G55" s="1" t="n">
        <v>10</v>
      </c>
      <c r="H55" s="1" t="n">
        <f aca="false">MOD(D55,1000)</f>
        <v>392</v>
      </c>
      <c r="I55" s="1" t="n">
        <f aca="false">MOD(E55,1000)</f>
        <v>434</v>
      </c>
    </row>
    <row r="56" customFormat="false" ht="12.75" hidden="false" customHeight="false" outlineLevel="0" collapsed="false">
      <c r="C56" s="1" t="n">
        <v>50395065</v>
      </c>
      <c r="D56" s="1" t="n">
        <v>50395065</v>
      </c>
      <c r="E56" s="1" t="n">
        <v>42735707</v>
      </c>
      <c r="G56" s="1" t="n">
        <v>11</v>
      </c>
      <c r="H56" s="1" t="n">
        <f aca="false">MOD(D56,1000)</f>
        <v>65</v>
      </c>
      <c r="I56" s="1" t="n">
        <f aca="false">MOD(E56,1000)</f>
        <v>707</v>
      </c>
    </row>
    <row r="57" customFormat="false" ht="12.75" hidden="false" customHeight="false" outlineLevel="0" collapsed="false">
      <c r="C57" s="1" t="n">
        <v>78452132</v>
      </c>
      <c r="D57" s="1" t="n">
        <v>78452132</v>
      </c>
      <c r="E57" s="1" t="n">
        <v>30323661</v>
      </c>
      <c r="G57" s="1" t="n">
        <v>12</v>
      </c>
      <c r="H57" s="1" t="n">
        <f aca="false">MOD(D57,1000)</f>
        <v>132</v>
      </c>
      <c r="I57" s="1" t="n">
        <f aca="false">MOD(E57,1000)</f>
        <v>661</v>
      </c>
    </row>
    <row r="58" customFormat="false" ht="12.75" hidden="false" customHeight="false" outlineLevel="0" collapsed="false">
      <c r="C58" s="1" t="n">
        <v>55196736</v>
      </c>
      <c r="D58" s="1" t="n">
        <v>55196736</v>
      </c>
      <c r="E58" s="1" t="n">
        <v>18699794</v>
      </c>
      <c r="G58" s="1" t="n">
        <v>13</v>
      </c>
      <c r="H58" s="1" t="n">
        <f aca="false">MOD(D58,1000)</f>
        <v>736</v>
      </c>
      <c r="I58" s="1" t="n">
        <f aca="false">MOD(E58,1000)</f>
        <v>794</v>
      </c>
    </row>
    <row r="59" customFormat="false" ht="12.75" hidden="false" customHeight="false" outlineLevel="0" collapsed="false">
      <c r="C59" s="1" t="n">
        <v>81305208</v>
      </c>
      <c r="D59" s="1" t="n">
        <v>81305208</v>
      </c>
      <c r="E59" s="1" t="n">
        <v>4112441</v>
      </c>
      <c r="G59" s="1" t="n">
        <v>14</v>
      </c>
      <c r="H59" s="1" t="n">
        <f aca="false">MOD(D59,1000)</f>
        <v>208</v>
      </c>
      <c r="I59" s="1" t="n">
        <f aca="false">MOD(E59,1000)</f>
        <v>441</v>
      </c>
    </row>
    <row r="70" customFormat="false" ht="12.75" hidden="false" customHeight="false" outlineLevel="0" collapsed="false">
      <c r="G70" s="1" t="s">
        <v>49</v>
      </c>
    </row>
    <row r="71" customFormat="false" ht="12.75" hidden="false" customHeight="false" outlineLevel="0" collapsed="false">
      <c r="G71" s="1" t="s">
        <v>50</v>
      </c>
    </row>
    <row r="72" customFormat="false" ht="12.75" hidden="false" customHeight="false" outlineLevel="0" collapsed="false">
      <c r="G72" s="1" t="s">
        <v>51</v>
      </c>
    </row>
    <row r="73" customFormat="false" ht="12.75" hidden="false" customHeight="false" outlineLevel="0" collapsed="false">
      <c r="G73" s="1" t="s">
        <v>52</v>
      </c>
    </row>
    <row r="74" customFormat="false" ht="12.75" hidden="false" customHeight="false" outlineLevel="0" collapsed="false">
      <c r="G74" s="1" t="s">
        <v>53</v>
      </c>
    </row>
    <row r="75" customFormat="false" ht="12.75" hidden="false" customHeight="false" outlineLevel="0" collapsed="false">
      <c r="G75" s="1" t="s">
        <v>54</v>
      </c>
    </row>
    <row r="76" customFormat="false" ht="12.75" hidden="false" customHeight="false" outlineLevel="0" collapsed="false">
      <c r="G76" s="1" t="s">
        <v>55</v>
      </c>
    </row>
    <row r="77" customFormat="false" ht="12.75" hidden="false" customHeight="false" outlineLevel="0" collapsed="false">
      <c r="G77" s="1" t="s">
        <v>56</v>
      </c>
    </row>
    <row r="78" customFormat="false" ht="12.75" hidden="false" customHeight="false" outlineLevel="0" collapsed="false">
      <c r="G78" s="1" t="s">
        <v>57</v>
      </c>
    </row>
    <row r="79" customFormat="false" ht="12.75" hidden="false" customHeight="false" outlineLevel="0" collapsed="false">
      <c r="G79" s="1" t="s">
        <v>58</v>
      </c>
    </row>
    <row r="80" customFormat="false" ht="12.75" hidden="false" customHeight="false" outlineLevel="0" collapsed="false">
      <c r="G80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78"/>
  <sheetViews>
    <sheetView showFormulas="false" showGridLines="true" showRowColHeaders="true" showZeros="true" rightToLeft="false" tabSelected="false" showOutlineSymbols="true" defaultGridColor="true" view="normal" topLeftCell="M34" colorId="64" zoomScale="100" zoomScaleNormal="100" zoomScalePageLayoutView="100" workbookViewId="0">
      <selection pane="topLeft" activeCell="AE60" activeCellId="0" sqref="AE60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7.42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</row>
    <row r="5" customFormat="false" ht="12.75" hidden="false" customHeight="false" outlineLevel="0" collapsed="false">
      <c r="C5" s="5" t="n">
        <v>1</v>
      </c>
      <c r="D5" s="10"/>
      <c r="E5" s="10"/>
      <c r="F5" s="10" t="n">
        <v>1.304</v>
      </c>
      <c r="G5" s="10" t="n">
        <v>5.333</v>
      </c>
      <c r="H5" s="10" t="n">
        <v>3.059</v>
      </c>
      <c r="I5" s="10" t="n">
        <v>3.775</v>
      </c>
      <c r="J5" s="10" t="n">
        <v>2.56</v>
      </c>
      <c r="K5" s="10" t="n">
        <v>2.182</v>
      </c>
      <c r="L5" s="10"/>
      <c r="M5" s="10"/>
      <c r="N5" s="10"/>
      <c r="O5" s="10"/>
      <c r="P5" s="10" t="n">
        <v>3.623</v>
      </c>
      <c r="Q5" s="10" t="n">
        <v>3.857</v>
      </c>
      <c r="R5" s="1" t="n">
        <v>10.2966</v>
      </c>
      <c r="T5" s="11" t="s">
        <v>69</v>
      </c>
    </row>
    <row r="6" customFormat="false" ht="12.75" hidden="false" customHeight="false" outlineLevel="0" collapsed="false">
      <c r="C6" s="5" t="s">
        <v>34</v>
      </c>
      <c r="D6" s="10"/>
      <c r="E6" s="10"/>
      <c r="F6" s="10" t="n">
        <v>10.999</v>
      </c>
      <c r="G6" s="10" t="n">
        <v>14.467</v>
      </c>
      <c r="H6" s="10" t="n">
        <v>12.812</v>
      </c>
      <c r="I6" s="10" t="n">
        <v>13.046</v>
      </c>
      <c r="J6" s="10" t="n">
        <v>11.58</v>
      </c>
      <c r="K6" s="10" t="n">
        <v>20.296</v>
      </c>
      <c r="L6" s="10"/>
      <c r="M6" s="10"/>
      <c r="N6" s="10"/>
      <c r="O6" s="10"/>
      <c r="P6" s="10" t="n">
        <v>13.775</v>
      </c>
      <c r="Q6" s="10" t="n">
        <v>26.702</v>
      </c>
      <c r="R6" s="1" t="n">
        <v>10.3664</v>
      </c>
      <c r="T6" s="11" t="s">
        <v>70</v>
      </c>
    </row>
    <row r="7" customFormat="false" ht="12.75" hidden="false" customHeight="false" outlineLevel="0" collapsed="false">
      <c r="C7" s="5" t="s">
        <v>36</v>
      </c>
      <c r="D7" s="10"/>
      <c r="E7" s="10"/>
      <c r="F7" s="10" t="n">
        <v>11.959</v>
      </c>
      <c r="G7" s="10" t="n">
        <v>15.381</v>
      </c>
      <c r="H7" s="10" t="n">
        <v>14.101</v>
      </c>
      <c r="I7" s="10" t="n">
        <v>13.949</v>
      </c>
      <c r="J7" s="10" t="n">
        <v>12.561</v>
      </c>
      <c r="K7" s="10" t="n">
        <v>21.995</v>
      </c>
      <c r="L7" s="10"/>
      <c r="M7" s="10"/>
      <c r="N7" s="10"/>
      <c r="O7" s="10"/>
      <c r="P7" s="10" t="n">
        <v>14.715</v>
      </c>
      <c r="Q7" s="10" t="n">
        <v>26.709</v>
      </c>
      <c r="R7" s="1" t="n">
        <v>10.45</v>
      </c>
      <c r="T7" s="11" t="s">
        <v>71</v>
      </c>
    </row>
    <row r="8" customFormat="false" ht="12.75" hidden="false" customHeight="false" outlineLevel="0" collapsed="false">
      <c r="C8" s="5" t="s">
        <v>38</v>
      </c>
      <c r="D8" s="10"/>
      <c r="E8" s="10"/>
      <c r="F8" s="10" t="n">
        <v>12.641</v>
      </c>
      <c r="G8" s="10" t="n">
        <v>15.975</v>
      </c>
      <c r="H8" s="10" t="n">
        <v>15.25</v>
      </c>
      <c r="I8" s="10" t="n">
        <v>14.516</v>
      </c>
      <c r="J8" s="10" t="n">
        <v>13.29</v>
      </c>
      <c r="K8" s="10" t="n">
        <v>23.138</v>
      </c>
      <c r="L8" s="10"/>
      <c r="M8" s="10"/>
      <c r="N8" s="10"/>
      <c r="O8" s="10"/>
      <c r="P8" s="10" t="n">
        <v>15.34</v>
      </c>
      <c r="Q8" s="10" t="n">
        <v>26.718</v>
      </c>
      <c r="R8" s="1" t="n">
        <v>10.5378</v>
      </c>
      <c r="T8" s="11" t="s">
        <v>72</v>
      </c>
    </row>
    <row r="9" customFormat="false" ht="12.75" hidden="false" customHeight="false" outlineLevel="0" collapsed="false">
      <c r="C9" s="5" t="s">
        <v>40</v>
      </c>
      <c r="D9" s="10"/>
      <c r="E9" s="10"/>
      <c r="F9" s="10" t="n">
        <v>13.212</v>
      </c>
      <c r="G9" s="10" t="n">
        <v>16.406</v>
      </c>
      <c r="H9" s="10" t="n">
        <v>16.478</v>
      </c>
      <c r="I9" s="10" t="n">
        <v>14.926</v>
      </c>
      <c r="J9" s="10" t="n">
        <v>13.863</v>
      </c>
      <c r="K9" s="10" t="n">
        <v>23.98</v>
      </c>
      <c r="L9" s="10"/>
      <c r="M9" s="10"/>
      <c r="N9" s="10"/>
      <c r="O9" s="10"/>
      <c r="P9" s="10" t="n">
        <v>15.871</v>
      </c>
      <c r="Q9" s="10" t="n">
        <v>26.725</v>
      </c>
      <c r="R9" s="1" t="n">
        <v>10.6448</v>
      </c>
      <c r="T9" s="11" t="s">
        <v>73</v>
      </c>
    </row>
    <row r="10" customFormat="false" ht="12.75" hidden="false" customHeight="false" outlineLevel="0" collapsed="false">
      <c r="C10" s="5" t="s">
        <v>42</v>
      </c>
      <c r="D10" s="10"/>
      <c r="E10" s="10"/>
      <c r="F10" s="10" t="n">
        <v>13.724</v>
      </c>
      <c r="G10" s="10" t="n">
        <v>16.736</v>
      </c>
      <c r="H10" s="10" t="n">
        <v>17.866</v>
      </c>
      <c r="I10" s="10" t="n">
        <v>15.241</v>
      </c>
      <c r="J10" s="10" t="n">
        <v>14.447</v>
      </c>
      <c r="K10" s="10" t="n">
        <v>24.628</v>
      </c>
      <c r="L10" s="10"/>
      <c r="M10" s="10"/>
      <c r="N10" s="10"/>
      <c r="O10" s="10"/>
      <c r="P10" s="10" t="n">
        <v>16.347</v>
      </c>
      <c r="Q10" s="10" t="n">
        <v>26.731</v>
      </c>
      <c r="R10" s="1" t="n">
        <v>10.7653</v>
      </c>
      <c r="T10" s="11" t="s">
        <v>68</v>
      </c>
    </row>
    <row r="11" customFormat="false" ht="12.75" hidden="false" customHeight="false" outlineLevel="0" collapsed="false">
      <c r="C11" s="5" t="s">
        <v>44</v>
      </c>
      <c r="D11" s="10"/>
      <c r="E11" s="10"/>
      <c r="F11" s="10" t="n">
        <v>14.237</v>
      </c>
      <c r="G11" s="10" t="n">
        <v>17.004</v>
      </c>
      <c r="H11" s="10" t="n">
        <v>19.628</v>
      </c>
      <c r="I11" s="10" t="n">
        <v>15.49</v>
      </c>
      <c r="J11" s="10" t="n">
        <v>15.09</v>
      </c>
      <c r="K11" s="10" t="n">
        <v>25.283</v>
      </c>
      <c r="L11" s="10"/>
      <c r="M11" s="10"/>
      <c r="N11" s="10"/>
      <c r="O11" s="10"/>
      <c r="P11" s="10" t="n">
        <v>16.887</v>
      </c>
      <c r="Q11" s="10" t="n">
        <v>26.736</v>
      </c>
      <c r="R11" s="1" t="n">
        <v>14.1651</v>
      </c>
    </row>
    <row r="12" customFormat="false" ht="12.75" hidden="false" customHeight="false" outlineLevel="0" collapsed="false">
      <c r="C12" s="5" t="s">
        <v>45</v>
      </c>
      <c r="D12" s="10"/>
      <c r="E12" s="10"/>
      <c r="F12" s="10" t="n">
        <v>14.796</v>
      </c>
      <c r="G12" s="10" t="n">
        <v>17.241</v>
      </c>
      <c r="H12" s="10" t="n">
        <v>21.907</v>
      </c>
      <c r="I12" s="10" t="n">
        <v>15.719</v>
      </c>
      <c r="J12" s="10" t="n">
        <v>15.856</v>
      </c>
      <c r="K12" s="10" t="n">
        <v>26.008</v>
      </c>
      <c r="L12" s="10"/>
      <c r="M12" s="10"/>
      <c r="N12" s="10"/>
      <c r="O12" s="10"/>
      <c r="P12" s="10" t="n">
        <v>17.506</v>
      </c>
      <c r="Q12" s="10" t="n">
        <v>26.741</v>
      </c>
      <c r="R12" s="1" t="n">
        <v>14.2402</v>
      </c>
    </row>
    <row r="13" customFormat="false" ht="12.75" hidden="false" customHeight="false" outlineLevel="0" collapsed="false">
      <c r="C13" s="5" t="s">
        <v>46</v>
      </c>
      <c r="D13" s="10"/>
      <c r="E13" s="10"/>
      <c r="F13" s="10" t="n">
        <v>15.399</v>
      </c>
      <c r="G13" s="10" t="n">
        <v>17.454</v>
      </c>
      <c r="H13" s="10" t="n">
        <v>24.274</v>
      </c>
      <c r="I13" s="10" t="n">
        <v>15.913</v>
      </c>
      <c r="J13" s="10" t="n">
        <v>16.665</v>
      </c>
      <c r="K13" s="10" t="n">
        <v>26.813</v>
      </c>
      <c r="L13" s="10"/>
      <c r="M13" s="10"/>
      <c r="N13" s="10"/>
      <c r="O13" s="10"/>
      <c r="P13" s="10" t="n">
        <v>18.116</v>
      </c>
      <c r="Q13" s="10" t="n">
        <v>26.746</v>
      </c>
      <c r="R13" s="1" t="n">
        <v>14.3162</v>
      </c>
    </row>
    <row r="14" customFormat="false" ht="12.75" hidden="false" customHeight="false" outlineLevel="0" collapsed="false">
      <c r="C14" s="5" t="s">
        <v>47</v>
      </c>
      <c r="D14" s="10"/>
      <c r="E14" s="10"/>
      <c r="F14" s="10" t="n">
        <v>16.061</v>
      </c>
      <c r="G14" s="10" t="n">
        <v>17.648</v>
      </c>
      <c r="H14" s="10" t="n">
        <v>27.017</v>
      </c>
      <c r="I14" s="10" t="n">
        <v>16.091</v>
      </c>
      <c r="J14" s="10" t="n">
        <v>17.599</v>
      </c>
      <c r="K14" s="10" t="n">
        <v>27.569</v>
      </c>
      <c r="L14" s="10"/>
      <c r="M14" s="10"/>
      <c r="N14" s="10"/>
      <c r="O14" s="10"/>
      <c r="P14" s="10" t="n">
        <v>18.837</v>
      </c>
      <c r="Q14" s="10" t="n">
        <v>26.751</v>
      </c>
      <c r="R14" s="1" t="n">
        <v>14.4035</v>
      </c>
    </row>
    <row r="15" customFormat="false" ht="12.75" hidden="false" customHeight="false" outlineLevel="0" collapsed="false">
      <c r="C15" s="5" t="s">
        <v>48</v>
      </c>
      <c r="D15" s="10"/>
      <c r="E15" s="10"/>
      <c r="F15" s="10" t="n">
        <v>16.786</v>
      </c>
      <c r="G15" s="10" t="n">
        <v>17.821</v>
      </c>
      <c r="H15" s="10" t="n">
        <v>30.039</v>
      </c>
      <c r="I15" s="10" t="n">
        <v>16.253</v>
      </c>
      <c r="J15" s="10" t="n">
        <v>18.665</v>
      </c>
      <c r="K15" s="10" t="n">
        <v>28.256</v>
      </c>
      <c r="L15" s="10"/>
      <c r="M15" s="10"/>
      <c r="N15" s="10"/>
      <c r="O15" s="10"/>
      <c r="P15" s="10" t="n">
        <v>19.689</v>
      </c>
      <c r="Q15" s="10" t="n">
        <v>26.757</v>
      </c>
      <c r="R15" s="1" t="n">
        <v>14.7606</v>
      </c>
    </row>
    <row r="24" customFormat="false" ht="12.75" hidden="false" customHeight="false" outlineLevel="0" collapsed="false">
      <c r="F24" s="1" t="s">
        <v>49</v>
      </c>
      <c r="G24" s="1" t="n">
        <v>8.84872</v>
      </c>
    </row>
    <row r="25" customFormat="false" ht="12.75" hidden="false" customHeight="false" outlineLevel="0" collapsed="false">
      <c r="F25" s="1" t="s">
        <v>50</v>
      </c>
      <c r="G25" s="1" t="n">
        <v>10.2966</v>
      </c>
    </row>
    <row r="26" customFormat="false" ht="12.75" hidden="false" customHeight="false" outlineLevel="0" collapsed="false">
      <c r="F26" s="1" t="s">
        <v>51</v>
      </c>
      <c r="G26" s="1" t="n">
        <v>10.3664</v>
      </c>
    </row>
    <row r="27" customFormat="false" ht="12.75" hidden="false" customHeight="false" outlineLevel="0" collapsed="false">
      <c r="F27" s="1" t="s">
        <v>52</v>
      </c>
      <c r="G27" s="1" t="n">
        <v>10.45</v>
      </c>
    </row>
    <row r="28" customFormat="false" ht="12.75" hidden="false" customHeight="false" outlineLevel="0" collapsed="false">
      <c r="F28" s="1" t="s">
        <v>53</v>
      </c>
      <c r="G28" s="1" t="n">
        <v>10.5378</v>
      </c>
    </row>
    <row r="29" customFormat="false" ht="12.75" hidden="false" customHeight="false" outlineLevel="0" collapsed="false">
      <c r="F29" s="1" t="s">
        <v>54</v>
      </c>
      <c r="G29" s="1" t="n">
        <v>10.6448</v>
      </c>
    </row>
    <row r="30" customFormat="false" ht="12.75" hidden="false" customHeight="false" outlineLevel="0" collapsed="false">
      <c r="F30" s="1" t="s">
        <v>55</v>
      </c>
      <c r="G30" s="1" t="n">
        <v>10.7653</v>
      </c>
    </row>
    <row r="31" customFormat="false" ht="12.75" hidden="false" customHeight="false" outlineLevel="0" collapsed="false">
      <c r="F31" s="1" t="s">
        <v>56</v>
      </c>
      <c r="G31" s="1" t="n">
        <v>14.1651</v>
      </c>
    </row>
    <row r="32" customFormat="false" ht="12.75" hidden="false" customHeight="false" outlineLevel="0" collapsed="false">
      <c r="F32" s="1" t="s">
        <v>57</v>
      </c>
      <c r="G32" s="1" t="n">
        <v>14.2402</v>
      </c>
    </row>
    <row r="33" customFormat="false" ht="12.75" hidden="false" customHeight="false" outlineLevel="0" collapsed="false">
      <c r="F33" s="1" t="s">
        <v>58</v>
      </c>
      <c r="G33" s="1" t="n">
        <v>14.3162</v>
      </c>
    </row>
    <row r="34" customFormat="false" ht="12.75" hidden="false" customHeight="false" outlineLevel="0" collapsed="false">
      <c r="F34" s="1" t="s">
        <v>59</v>
      </c>
      <c r="G34" s="1" t="n">
        <v>14.4035</v>
      </c>
    </row>
    <row r="44" customFormat="false" ht="23.85" hidden="false" customHeight="false" outlineLevel="0" collapsed="false">
      <c r="I44" s="12" t="s">
        <v>60</v>
      </c>
      <c r="J44" s="11" t="s">
        <v>61</v>
      </c>
      <c r="K44" s="11" t="s">
        <v>62</v>
      </c>
    </row>
    <row r="45" customFormat="false" ht="12.75" hidden="false" customHeight="false" outlineLevel="0" collapsed="false">
      <c r="F45" s="1" t="n">
        <v>17386262</v>
      </c>
      <c r="G45" s="1" t="n">
        <v>99999989</v>
      </c>
      <c r="I45" s="1" t="n">
        <v>1</v>
      </c>
      <c r="J45" s="1" t="n">
        <f aca="false">MOD(F45,1000)</f>
        <v>262</v>
      </c>
      <c r="K45" s="1" t="n">
        <f aca="false">MOD(G45,1000)</f>
        <v>989</v>
      </c>
    </row>
    <row r="46" customFormat="false" ht="12.75" hidden="false" customHeight="false" outlineLevel="0" collapsed="false">
      <c r="F46" s="1" t="n">
        <v>30</v>
      </c>
      <c r="G46" s="1" t="n">
        <v>84453284</v>
      </c>
      <c r="I46" s="1" t="n">
        <v>2</v>
      </c>
      <c r="J46" s="1" t="n">
        <f aca="false">MOD(F46,1000)</f>
        <v>30</v>
      </c>
      <c r="K46" s="1" t="n">
        <f aca="false">MOD(G46,1000)</f>
        <v>284</v>
      </c>
    </row>
    <row r="47" customFormat="false" ht="12.75" hidden="false" customHeight="false" outlineLevel="0" collapsed="false">
      <c r="F47" s="1" t="n">
        <v>65762752</v>
      </c>
      <c r="G47" s="1" t="n">
        <v>99999949</v>
      </c>
      <c r="I47" s="1" t="n">
        <v>3</v>
      </c>
      <c r="J47" s="1" t="n">
        <f aca="false">MOD(F47,1000)</f>
        <v>752</v>
      </c>
      <c r="K47" s="1" t="n">
        <f aca="false">MOD(G47,1000)</f>
        <v>949</v>
      </c>
    </row>
    <row r="48" customFormat="false" ht="12.75" hidden="false" customHeight="false" outlineLevel="0" collapsed="false">
      <c r="F48" s="1" t="n">
        <v>70</v>
      </c>
      <c r="G48" s="1" t="n">
        <v>7937336</v>
      </c>
      <c r="I48" s="1" t="n">
        <v>4</v>
      </c>
      <c r="J48" s="1" t="n">
        <f aca="false">MOD(F48,1000)</f>
        <v>70</v>
      </c>
      <c r="K48" s="1" t="n">
        <f aca="false">MOD(G48,1000)</f>
        <v>336</v>
      </c>
    </row>
    <row r="49" customFormat="false" ht="12.75" hidden="false" customHeight="false" outlineLevel="0" collapsed="false">
      <c r="F49" s="1" t="n">
        <v>4625070</v>
      </c>
      <c r="G49" s="1" t="n">
        <v>99999909</v>
      </c>
      <c r="I49" s="1" t="n">
        <v>5</v>
      </c>
      <c r="J49" s="1" t="n">
        <v>470</v>
      </c>
      <c r="K49" s="1" t="n">
        <f aca="false">MOD(G49,1000)</f>
        <v>909</v>
      </c>
    </row>
    <row r="50" customFormat="false" ht="12.75" hidden="false" customHeight="false" outlineLevel="0" collapsed="false">
      <c r="F50" s="1" t="n">
        <v>110</v>
      </c>
      <c r="G50" s="1" t="n">
        <v>279004</v>
      </c>
      <c r="I50" s="1" t="n">
        <v>6</v>
      </c>
      <c r="J50" s="1" t="n">
        <f aca="false">MOD(F50,1000)</f>
        <v>110</v>
      </c>
      <c r="K50" s="1" t="n">
        <v>475</v>
      </c>
    </row>
    <row r="51" customFormat="false" ht="12.75" hidden="false" customHeight="false" outlineLevel="0" collapsed="false">
      <c r="F51" s="1" t="n">
        <v>14105447</v>
      </c>
      <c r="G51" s="1" t="n">
        <v>99999869</v>
      </c>
      <c r="I51" s="1" t="n">
        <v>7</v>
      </c>
      <c r="J51" s="1" t="n">
        <f aca="false">MOD(F51,1000)</f>
        <v>447</v>
      </c>
      <c r="K51" s="1" t="n">
        <f aca="false">MOD(G51,1000)</f>
        <v>869</v>
      </c>
    </row>
    <row r="52" customFormat="false" ht="12.75" hidden="false" customHeight="false" outlineLevel="0" collapsed="false">
      <c r="F52" s="1" t="n">
        <v>150</v>
      </c>
      <c r="G52" s="1" t="n">
        <v>32003556</v>
      </c>
      <c r="I52" s="1" t="n">
        <v>8</v>
      </c>
      <c r="J52" s="1" t="n">
        <f aca="false">MOD(F52,1000)</f>
        <v>150</v>
      </c>
      <c r="K52" s="1" t="n">
        <f aca="false">MOD(G52,1000)</f>
        <v>556</v>
      </c>
    </row>
    <row r="53" customFormat="false" ht="12.75" hidden="false" customHeight="false" outlineLevel="0" collapsed="false">
      <c r="F53" s="1" t="n">
        <v>439378</v>
      </c>
      <c r="G53" s="1" t="n">
        <v>99999829</v>
      </c>
      <c r="I53" s="1" t="n">
        <v>9</v>
      </c>
      <c r="J53" s="1" t="n">
        <f aca="false">MOD(F53,1000)</f>
        <v>378</v>
      </c>
      <c r="K53" s="1" t="n">
        <f aca="false">MOD(G53,1000)</f>
        <v>829</v>
      </c>
    </row>
    <row r="54" customFormat="false" ht="12.75" hidden="false" customHeight="false" outlineLevel="0" collapsed="false">
      <c r="F54" s="1" t="n">
        <v>190</v>
      </c>
      <c r="G54" s="1" t="n">
        <v>4406171</v>
      </c>
      <c r="I54" s="1" t="n">
        <v>10</v>
      </c>
      <c r="J54" s="1" t="n">
        <f aca="false">MOD(F54,1000)</f>
        <v>190</v>
      </c>
      <c r="K54" s="1" t="n">
        <v>471</v>
      </c>
    </row>
    <row r="55" customFormat="false" ht="12.75" hidden="false" customHeight="false" outlineLevel="0" collapsed="false">
      <c r="F55" s="1" t="n">
        <v>8371513</v>
      </c>
      <c r="G55" s="1" t="n">
        <v>99999789</v>
      </c>
      <c r="I55" s="1" t="n">
        <v>11</v>
      </c>
      <c r="J55" s="1" t="n">
        <f aca="false">MOD(F55,1000)</f>
        <v>513</v>
      </c>
      <c r="K55" s="1" t="n">
        <f aca="false">MOD(G55,1000)</f>
        <v>789</v>
      </c>
    </row>
    <row r="56" customFormat="false" ht="12.75" hidden="false" customHeight="false" outlineLevel="0" collapsed="false">
      <c r="F56" s="1" t="n">
        <v>230</v>
      </c>
      <c r="G56" s="1" t="n">
        <v>45735449</v>
      </c>
      <c r="I56" s="1" t="n">
        <v>12</v>
      </c>
      <c r="J56" s="1" t="n">
        <f aca="false">MOD(F56,1000)</f>
        <v>230</v>
      </c>
      <c r="K56" s="1" t="n">
        <f aca="false">MOD(G56,1000)</f>
        <v>449</v>
      </c>
    </row>
    <row r="57" customFormat="false" ht="12.75" hidden="false" customHeight="false" outlineLevel="0" collapsed="false">
      <c r="F57" s="1" t="n">
        <v>56536483</v>
      </c>
      <c r="G57" s="1" t="n">
        <v>99999749</v>
      </c>
      <c r="I57" s="1" t="n">
        <v>13</v>
      </c>
      <c r="J57" s="1" t="n">
        <f aca="false">MOD(F57,1000)</f>
        <v>483</v>
      </c>
      <c r="K57" s="1" t="n">
        <f aca="false">MOD(G57,1000)</f>
        <v>749</v>
      </c>
    </row>
    <row r="58" customFormat="false" ht="12.75" hidden="false" customHeight="false" outlineLevel="0" collapsed="false">
      <c r="F58" s="1" t="n">
        <v>270</v>
      </c>
      <c r="G58" s="1" t="n">
        <v>56518996</v>
      </c>
      <c r="I58" s="1" t="n">
        <v>14</v>
      </c>
      <c r="J58" s="1" t="n">
        <f aca="false">MOD(F58,1000)</f>
        <v>270</v>
      </c>
      <c r="K58" s="1" t="n">
        <f aca="false">MOD(G58,1000)</f>
        <v>996</v>
      </c>
    </row>
    <row r="59" customFormat="false" ht="12.75" hidden="false" customHeight="false" outlineLevel="0" collapsed="false">
      <c r="F59" s="1" t="n">
        <v>48921093</v>
      </c>
      <c r="G59" s="1" t="n">
        <v>99999709</v>
      </c>
      <c r="I59" s="1" t="n">
        <v>15</v>
      </c>
      <c r="J59" s="1" t="n">
        <f aca="false">MOD(F59,1000)</f>
        <v>93</v>
      </c>
      <c r="K59" s="1" t="n">
        <f aca="false">MOD(G59,1000)</f>
        <v>709</v>
      </c>
    </row>
    <row r="68" customFormat="false" ht="12.75" hidden="false" customHeight="false" outlineLevel="0" collapsed="false">
      <c r="H68" s="1" t="s">
        <v>49</v>
      </c>
    </row>
    <row r="69" customFormat="false" ht="12.75" hidden="false" customHeight="false" outlineLevel="0" collapsed="false">
      <c r="H69" s="1" t="s">
        <v>50</v>
      </c>
    </row>
    <row r="70" customFormat="false" ht="12.75" hidden="false" customHeight="false" outlineLevel="0" collapsed="false">
      <c r="H70" s="1" t="s">
        <v>51</v>
      </c>
    </row>
    <row r="71" customFormat="false" ht="12.75" hidden="false" customHeight="false" outlineLevel="0" collapsed="false">
      <c r="H71" s="1" t="s">
        <v>52</v>
      </c>
    </row>
    <row r="72" customFormat="false" ht="12.75" hidden="false" customHeight="false" outlineLevel="0" collapsed="false">
      <c r="H72" s="1" t="s">
        <v>53</v>
      </c>
    </row>
    <row r="73" customFormat="false" ht="12.75" hidden="false" customHeight="false" outlineLevel="0" collapsed="false">
      <c r="H73" s="1" t="s">
        <v>54</v>
      </c>
    </row>
    <row r="74" customFormat="false" ht="12.75" hidden="false" customHeight="false" outlineLevel="0" collapsed="false">
      <c r="H74" s="1" t="s">
        <v>55</v>
      </c>
    </row>
    <row r="75" customFormat="false" ht="12.75" hidden="false" customHeight="false" outlineLevel="0" collapsed="false">
      <c r="H75" s="1" t="s">
        <v>56</v>
      </c>
    </row>
    <row r="76" customFormat="false" ht="12.75" hidden="false" customHeight="false" outlineLevel="0" collapsed="false">
      <c r="H76" s="1" t="s">
        <v>57</v>
      </c>
    </row>
    <row r="77" customFormat="false" ht="12.75" hidden="false" customHeight="false" outlineLevel="0" collapsed="false">
      <c r="H77" s="1" t="s">
        <v>58</v>
      </c>
    </row>
    <row r="78" customFormat="false" ht="12.75" hidden="false" customHeight="false" outlineLevel="0" collapsed="false">
      <c r="H78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78"/>
  <sheetViews>
    <sheetView showFormulas="false" showGridLines="true" showRowColHeaders="true" showZeros="true" rightToLeft="false" tabSelected="false" showOutlineSymbols="true" defaultGridColor="true" view="normal" topLeftCell="L34" colorId="64" zoomScale="100" zoomScaleNormal="100" zoomScalePageLayoutView="100" workbookViewId="0">
      <selection pane="topLeft" activeCell="AA42" activeCellId="0" sqref="AA42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2.57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</row>
    <row r="5" customFormat="false" ht="12.75" hidden="false" customHeight="false" outlineLevel="0" collapsed="false">
      <c r="C5" s="5" t="n">
        <v>1</v>
      </c>
      <c r="D5" s="13"/>
      <c r="E5" s="10"/>
      <c r="F5" s="1" t="n">
        <v>2.01</v>
      </c>
      <c r="G5" s="10" t="n">
        <v>5.087</v>
      </c>
      <c r="H5" s="10" t="n">
        <v>3.697</v>
      </c>
      <c r="I5" s="10" t="n">
        <v>3.839</v>
      </c>
      <c r="J5" s="10" t="n">
        <v>2.811</v>
      </c>
      <c r="K5" s="10" t="n">
        <v>2.122</v>
      </c>
      <c r="L5" s="10"/>
      <c r="M5" s="10"/>
      <c r="N5" s="10"/>
      <c r="P5" s="10" t="n">
        <v>3.731</v>
      </c>
      <c r="Q5" s="10" t="n">
        <v>3.561</v>
      </c>
      <c r="R5" s="1" t="n">
        <v>6.05795</v>
      </c>
      <c r="T5" s="11" t="s">
        <v>74</v>
      </c>
    </row>
    <row r="6" customFormat="false" ht="12.75" hidden="false" customHeight="false" outlineLevel="0" collapsed="false">
      <c r="C6" s="5" t="s">
        <v>34</v>
      </c>
      <c r="D6" s="9"/>
      <c r="E6" s="9"/>
      <c r="F6" s="1" t="n">
        <v>10.931</v>
      </c>
      <c r="G6" s="10" t="n">
        <v>14.01</v>
      </c>
      <c r="H6" s="10" t="n">
        <v>12.786</v>
      </c>
      <c r="I6" s="10" t="n">
        <v>13.335</v>
      </c>
      <c r="J6" s="10" t="n">
        <v>11.728</v>
      </c>
      <c r="K6" s="10" t="n">
        <v>19.524</v>
      </c>
      <c r="L6" s="10"/>
      <c r="M6" s="10"/>
      <c r="N6" s="10"/>
      <c r="P6" s="10" t="n">
        <v>14.107</v>
      </c>
      <c r="Q6" s="10" t="n">
        <v>26.088</v>
      </c>
      <c r="R6" s="1" t="n">
        <v>10.5111</v>
      </c>
      <c r="T6" s="11" t="s">
        <v>75</v>
      </c>
    </row>
    <row r="7" customFormat="false" ht="12.75" hidden="false" customHeight="false" outlineLevel="0" collapsed="false">
      <c r="C7" s="5" t="s">
        <v>36</v>
      </c>
      <c r="D7" s="9"/>
      <c r="E7" s="9"/>
      <c r="F7" s="1" t="n">
        <v>11.822</v>
      </c>
      <c r="G7" s="10" t="n">
        <v>14.889</v>
      </c>
      <c r="H7" s="10" t="n">
        <v>13.675</v>
      </c>
      <c r="I7" s="10" t="n">
        <v>14.261</v>
      </c>
      <c r="J7" s="10" t="n">
        <v>12.65</v>
      </c>
      <c r="K7" s="10" t="n">
        <v>21.175</v>
      </c>
      <c r="L7" s="10"/>
      <c r="M7" s="10"/>
      <c r="N7" s="10"/>
      <c r="P7" s="10" t="n">
        <v>14.994</v>
      </c>
      <c r="Q7" s="10" t="n">
        <v>26.118</v>
      </c>
      <c r="R7" s="1" t="n">
        <v>10.5251</v>
      </c>
      <c r="T7" s="11" t="s">
        <v>76</v>
      </c>
    </row>
    <row r="8" customFormat="false" ht="12.75" hidden="false" customHeight="false" outlineLevel="0" collapsed="false">
      <c r="C8" s="5" t="s">
        <v>38</v>
      </c>
      <c r="D8" s="9"/>
      <c r="E8" s="9"/>
      <c r="F8" s="1" t="n">
        <v>12.359</v>
      </c>
      <c r="G8" s="10" t="n">
        <v>15.426</v>
      </c>
      <c r="H8" s="10" t="n">
        <v>14.226</v>
      </c>
      <c r="I8" s="10" t="n">
        <v>14.83</v>
      </c>
      <c r="J8" s="10" t="n">
        <v>13.196</v>
      </c>
      <c r="K8" s="10" t="n">
        <v>22.187</v>
      </c>
      <c r="L8" s="10"/>
      <c r="M8" s="10"/>
      <c r="N8" s="10"/>
      <c r="P8" s="10" t="n">
        <v>15.571</v>
      </c>
      <c r="Q8" s="10" t="n">
        <v>26.123</v>
      </c>
      <c r="R8" s="1" t="n">
        <v>10.5272</v>
      </c>
      <c r="T8" s="11" t="s">
        <v>77</v>
      </c>
    </row>
    <row r="9" customFormat="false" ht="12.75" hidden="false" customHeight="false" outlineLevel="0" collapsed="false">
      <c r="C9" s="5" t="s">
        <v>40</v>
      </c>
      <c r="D9" s="9"/>
      <c r="E9" s="9"/>
      <c r="F9" s="1" t="n">
        <v>12.752</v>
      </c>
      <c r="G9" s="10" t="n">
        <v>15.832</v>
      </c>
      <c r="H9" s="10" t="n">
        <v>14.649</v>
      </c>
      <c r="I9" s="10" t="n">
        <v>15.251</v>
      </c>
      <c r="J9" s="10" t="n">
        <v>13.605</v>
      </c>
      <c r="K9" s="10" t="n">
        <v>22.942</v>
      </c>
      <c r="L9" s="10"/>
      <c r="M9" s="10"/>
      <c r="N9" s="10"/>
      <c r="P9" s="10" t="n">
        <v>15.976</v>
      </c>
      <c r="Q9" s="10" t="n">
        <v>26.127</v>
      </c>
      <c r="R9" s="1" t="n">
        <v>10.5293</v>
      </c>
      <c r="T9" s="11" t="s">
        <v>78</v>
      </c>
    </row>
    <row r="10" customFormat="false" ht="12.75" hidden="false" customHeight="false" outlineLevel="0" collapsed="false">
      <c r="C10" s="5" t="s">
        <v>42</v>
      </c>
      <c r="D10" s="9"/>
      <c r="E10" s="9"/>
      <c r="F10" s="1" t="n">
        <v>13.065</v>
      </c>
      <c r="G10" s="10" t="n">
        <v>16.161</v>
      </c>
      <c r="H10" s="10" t="n">
        <v>14.979</v>
      </c>
      <c r="I10" s="10" t="n">
        <v>15.595</v>
      </c>
      <c r="J10" s="10" t="n">
        <v>13.928</v>
      </c>
      <c r="K10" s="10" t="n">
        <v>23.5</v>
      </c>
      <c r="L10" s="10"/>
      <c r="M10" s="10"/>
      <c r="N10" s="10"/>
      <c r="P10" s="10" t="n">
        <v>16.31</v>
      </c>
      <c r="Q10" s="10" t="n">
        <v>26.132</v>
      </c>
      <c r="R10" s="1" t="n">
        <v>10.5338</v>
      </c>
      <c r="T10" s="11" t="s">
        <v>68</v>
      </c>
    </row>
    <row r="11" customFormat="false" ht="12.75" hidden="false" customHeight="false" outlineLevel="0" collapsed="false">
      <c r="C11" s="5" t="s">
        <v>44</v>
      </c>
      <c r="D11" s="9"/>
      <c r="E11" s="9"/>
      <c r="F11" s="1" t="n">
        <v>13.305</v>
      </c>
      <c r="G11" s="10" t="n">
        <v>16.406</v>
      </c>
      <c r="H11" s="10" t="n">
        <v>15.245</v>
      </c>
      <c r="I11" s="10" t="n">
        <v>15.871</v>
      </c>
      <c r="J11" s="10" t="n">
        <v>14.185</v>
      </c>
      <c r="K11" s="10" t="n">
        <v>23.968</v>
      </c>
      <c r="L11" s="10"/>
      <c r="M11" s="10"/>
      <c r="N11" s="10"/>
      <c r="P11" s="10" t="n">
        <v>16.583</v>
      </c>
      <c r="Q11" s="10" t="n">
        <v>26.138</v>
      </c>
      <c r="R11" s="1" t="n">
        <v>10.5409</v>
      </c>
    </row>
    <row r="12" customFormat="false" ht="12.75" hidden="false" customHeight="false" outlineLevel="0" collapsed="false">
      <c r="C12" s="5" t="s">
        <v>45</v>
      </c>
      <c r="D12" s="9"/>
      <c r="E12" s="9"/>
      <c r="F12" s="1" t="n">
        <v>13.511</v>
      </c>
      <c r="G12" s="10" t="n">
        <v>16.622</v>
      </c>
      <c r="H12" s="10" t="n">
        <v>15.466</v>
      </c>
      <c r="I12" s="10" t="n">
        <v>16.092</v>
      </c>
      <c r="J12" s="10" t="n">
        <v>14.402</v>
      </c>
      <c r="K12" s="10" t="n">
        <v>24.332</v>
      </c>
      <c r="L12" s="10"/>
      <c r="M12" s="10"/>
      <c r="N12" s="10"/>
      <c r="P12" s="10" t="n">
        <v>16.793</v>
      </c>
      <c r="Q12" s="10" t="n">
        <v>26.144</v>
      </c>
      <c r="R12" s="1" t="n">
        <v>10.543</v>
      </c>
    </row>
    <row r="13" customFormat="false" ht="12.75" hidden="false" customHeight="false" outlineLevel="0" collapsed="false">
      <c r="C13" s="5" t="s">
        <v>46</v>
      </c>
      <c r="D13" s="9"/>
      <c r="E13" s="9"/>
      <c r="F13" s="1" t="n">
        <v>13.694</v>
      </c>
      <c r="G13" s="10" t="n">
        <v>16.812</v>
      </c>
      <c r="H13" s="10" t="n">
        <v>15.667</v>
      </c>
      <c r="I13" s="10" t="n">
        <v>16.287</v>
      </c>
      <c r="J13" s="10" t="n">
        <v>14.598</v>
      </c>
      <c r="K13" s="10" t="n">
        <v>24.661</v>
      </c>
      <c r="L13" s="10"/>
      <c r="M13" s="10"/>
      <c r="N13" s="10"/>
      <c r="P13" s="10" t="n">
        <v>16.992</v>
      </c>
      <c r="Q13" s="10" t="n">
        <v>26.149</v>
      </c>
      <c r="R13" s="1" t="n">
        <v>10.5452</v>
      </c>
    </row>
    <row r="14" customFormat="false" ht="12.75" hidden="false" customHeight="false" outlineLevel="0" collapsed="false">
      <c r="C14" s="5" t="s">
        <v>47</v>
      </c>
      <c r="D14" s="9"/>
      <c r="E14" s="9"/>
      <c r="F14" s="1" t="n">
        <v>13.859</v>
      </c>
      <c r="G14" s="10" t="n">
        <v>16.981</v>
      </c>
      <c r="H14" s="10" t="n">
        <v>15.844</v>
      </c>
      <c r="I14" s="10" t="n">
        <v>16.469</v>
      </c>
      <c r="J14" s="10" t="n">
        <v>14.773</v>
      </c>
      <c r="K14" s="10" t="n">
        <v>24.957</v>
      </c>
      <c r="L14" s="10"/>
      <c r="M14" s="10"/>
      <c r="N14" s="10"/>
      <c r="P14" s="10" t="n">
        <v>17.149</v>
      </c>
      <c r="Q14" s="10" t="n">
        <v>26.154</v>
      </c>
      <c r="R14" s="1" t="n">
        <v>10.5474</v>
      </c>
    </row>
    <row r="15" customFormat="false" ht="12.75" hidden="false" customHeight="false" outlineLevel="0" collapsed="false">
      <c r="C15" s="5" t="s">
        <v>48</v>
      </c>
      <c r="D15" s="9"/>
      <c r="E15" s="9"/>
      <c r="F15" s="1" t="n">
        <v>14.005</v>
      </c>
      <c r="G15" s="10" t="n">
        <v>17.136</v>
      </c>
      <c r="H15" s="10" t="n">
        <v>16.007</v>
      </c>
      <c r="I15" s="10" t="n">
        <v>16.629</v>
      </c>
      <c r="J15" s="10" t="n">
        <v>14.933</v>
      </c>
      <c r="K15" s="10" t="n">
        <v>25.232</v>
      </c>
      <c r="L15" s="10"/>
      <c r="M15" s="10"/>
      <c r="N15" s="10"/>
      <c r="P15" s="10" t="n">
        <v>17.291</v>
      </c>
      <c r="Q15" s="10" t="n">
        <v>26.159</v>
      </c>
      <c r="R15" s="1" t="n">
        <v>10.5496</v>
      </c>
    </row>
    <row r="21" customFormat="false" ht="12.75" hidden="false" customHeight="false" outlineLevel="0" collapsed="false">
      <c r="C21" s="1" t="s">
        <v>49</v>
      </c>
      <c r="D21" s="1" t="n">
        <v>6.05795</v>
      </c>
    </row>
    <row r="22" customFormat="false" ht="12.75" hidden="false" customHeight="false" outlineLevel="0" collapsed="false">
      <c r="C22" s="1" t="s">
        <v>50</v>
      </c>
      <c r="D22" s="1" t="n">
        <v>10.5111</v>
      </c>
    </row>
    <row r="23" customFormat="false" ht="12.75" hidden="false" customHeight="false" outlineLevel="0" collapsed="false">
      <c r="C23" s="1" t="s">
        <v>51</v>
      </c>
      <c r="D23" s="1" t="n">
        <v>10.5251</v>
      </c>
    </row>
    <row r="24" customFormat="false" ht="12.75" hidden="false" customHeight="false" outlineLevel="0" collapsed="false">
      <c r="C24" s="1" t="s">
        <v>52</v>
      </c>
      <c r="D24" s="1" t="n">
        <v>10.5272</v>
      </c>
    </row>
    <row r="25" customFormat="false" ht="12.75" hidden="false" customHeight="false" outlineLevel="0" collapsed="false">
      <c r="C25" s="1" t="s">
        <v>53</v>
      </c>
      <c r="D25" s="1" t="n">
        <v>10.5293</v>
      </c>
    </row>
    <row r="26" customFormat="false" ht="12.75" hidden="false" customHeight="false" outlineLevel="0" collapsed="false">
      <c r="C26" s="1" t="s">
        <v>54</v>
      </c>
      <c r="D26" s="1" t="n">
        <v>10.5338</v>
      </c>
    </row>
    <row r="27" customFormat="false" ht="12.75" hidden="false" customHeight="false" outlineLevel="0" collapsed="false">
      <c r="C27" s="1" t="s">
        <v>55</v>
      </c>
      <c r="D27" s="1" t="n">
        <v>10.5409</v>
      </c>
    </row>
    <row r="28" customFormat="false" ht="12.75" hidden="false" customHeight="false" outlineLevel="0" collapsed="false">
      <c r="C28" s="1" t="s">
        <v>56</v>
      </c>
      <c r="D28" s="1" t="n">
        <v>10.543</v>
      </c>
    </row>
    <row r="29" customFormat="false" ht="12.75" hidden="false" customHeight="false" outlineLevel="0" collapsed="false">
      <c r="C29" s="1" t="s">
        <v>57</v>
      </c>
      <c r="D29" s="1" t="n">
        <v>10.5452</v>
      </c>
    </row>
    <row r="30" customFormat="false" ht="12.75" hidden="false" customHeight="false" outlineLevel="0" collapsed="false">
      <c r="C30" s="1" t="s">
        <v>58</v>
      </c>
      <c r="D30" s="1" t="n">
        <v>10.5474</v>
      </c>
    </row>
    <row r="31" customFormat="false" ht="12.75" hidden="false" customHeight="false" outlineLevel="0" collapsed="false">
      <c r="C31" s="1" t="s">
        <v>59</v>
      </c>
      <c r="D31" s="1" t="n">
        <v>10.5496</v>
      </c>
    </row>
    <row r="32" customFormat="false" ht="12.75" hidden="false" customHeight="false" outlineLevel="0" collapsed="false">
      <c r="E32" s="1"/>
      <c r="F32" s="1"/>
    </row>
    <row r="44" customFormat="false" ht="23.85" hidden="false" customHeight="false" outlineLevel="0" collapsed="false">
      <c r="G44" s="12" t="s">
        <v>60</v>
      </c>
      <c r="H44" s="11" t="s">
        <v>61</v>
      </c>
      <c r="I44" s="11" t="s">
        <v>62</v>
      </c>
    </row>
    <row r="45" customFormat="false" ht="12.75" hidden="false" customHeight="false" outlineLevel="0" collapsed="false">
      <c r="D45" s="1" t="n">
        <v>85469319</v>
      </c>
      <c r="E45" s="1" t="n">
        <v>99999989</v>
      </c>
      <c r="G45" s="1" t="n">
        <v>1</v>
      </c>
      <c r="H45" s="1" t="n">
        <f aca="false">MOD(D45,1000)</f>
        <v>319</v>
      </c>
      <c r="I45" s="1" t="n">
        <f aca="false">MOD(E45, 1000)</f>
        <v>989</v>
      </c>
    </row>
    <row r="46" customFormat="false" ht="12.75" hidden="false" customHeight="false" outlineLevel="0" collapsed="false">
      <c r="D46" s="1" t="n">
        <v>98636727</v>
      </c>
      <c r="E46" s="1" t="n">
        <v>99999969</v>
      </c>
      <c r="G46" s="1" t="n">
        <v>2</v>
      </c>
      <c r="H46" s="1" t="n">
        <f aca="false">MOD(D46,1000)</f>
        <v>727</v>
      </c>
      <c r="I46" s="1" t="n">
        <f aca="false">MOD(E46, 1000)</f>
        <v>969</v>
      </c>
    </row>
    <row r="47" customFormat="false" ht="12.75" hidden="false" customHeight="false" outlineLevel="0" collapsed="false">
      <c r="D47" s="1" t="n">
        <v>91094448</v>
      </c>
      <c r="E47" s="1" t="n">
        <v>99999949</v>
      </c>
      <c r="G47" s="1" t="n">
        <v>3</v>
      </c>
      <c r="H47" s="1" t="n">
        <f aca="false">MOD(D47,1000)</f>
        <v>448</v>
      </c>
      <c r="I47" s="1" t="n">
        <f aca="false">MOD(E47, 1000)</f>
        <v>949</v>
      </c>
    </row>
    <row r="48" customFormat="false" ht="12.75" hidden="false" customHeight="false" outlineLevel="0" collapsed="false">
      <c r="D48" s="1" t="n">
        <v>19710283</v>
      </c>
      <c r="E48" s="1" t="n">
        <v>99999929</v>
      </c>
      <c r="G48" s="1" t="n">
        <v>4</v>
      </c>
      <c r="H48" s="1" t="n">
        <f aca="false">MOD(D48,1000)</f>
        <v>283</v>
      </c>
      <c r="I48" s="1" t="n">
        <f aca="false">MOD(E48, 1000)</f>
        <v>929</v>
      </c>
    </row>
    <row r="49" customFormat="false" ht="12.75" hidden="false" customHeight="false" outlineLevel="0" collapsed="false">
      <c r="D49" s="1" t="n">
        <v>25300246</v>
      </c>
      <c r="E49" s="1" t="n">
        <v>99999909</v>
      </c>
      <c r="G49" s="1" t="n">
        <v>5</v>
      </c>
      <c r="H49" s="1" t="n">
        <f aca="false">MOD(D49,1000)</f>
        <v>246</v>
      </c>
      <c r="I49" s="1" t="n">
        <f aca="false">MOD(E49, 1000)</f>
        <v>909</v>
      </c>
    </row>
    <row r="50" customFormat="false" ht="12.75" hidden="false" customHeight="false" outlineLevel="0" collapsed="false">
      <c r="D50" s="1" t="n">
        <v>66169616</v>
      </c>
      <c r="E50" s="1" t="n">
        <v>99999889</v>
      </c>
      <c r="G50" s="1" t="n">
        <v>6</v>
      </c>
      <c r="H50" s="1" t="n">
        <f aca="false">MOD(D50,1000)</f>
        <v>616</v>
      </c>
      <c r="I50" s="1" t="n">
        <f aca="false">MOD(E50, 1000)</f>
        <v>889</v>
      </c>
    </row>
    <row r="51" customFormat="false" ht="12.75" hidden="false" customHeight="false" outlineLevel="0" collapsed="false">
      <c r="D51" s="1" t="n">
        <v>93160226</v>
      </c>
      <c r="E51" s="1" t="n">
        <v>99999869</v>
      </c>
      <c r="G51" s="1" t="n">
        <v>7</v>
      </c>
      <c r="H51" s="1" t="n">
        <f aca="false">MOD(D51,1000)</f>
        <v>226</v>
      </c>
      <c r="I51" s="1" t="n">
        <f aca="false">MOD(E51, 1000)</f>
        <v>869</v>
      </c>
    </row>
    <row r="52" customFormat="false" ht="12.75" hidden="false" customHeight="false" outlineLevel="0" collapsed="false">
      <c r="D52" s="1" t="n">
        <v>32052588</v>
      </c>
      <c r="E52" s="1" t="n">
        <v>99999849</v>
      </c>
      <c r="G52" s="1" t="n">
        <v>8</v>
      </c>
      <c r="H52" s="1" t="n">
        <f aca="false">MOD(D52,1000)</f>
        <v>588</v>
      </c>
      <c r="I52" s="1" t="n">
        <f aca="false">MOD(E52, 1000)</f>
        <v>849</v>
      </c>
    </row>
    <row r="53" customFormat="false" ht="12.75" hidden="false" customHeight="false" outlineLevel="0" collapsed="false">
      <c r="D53" s="1" t="n">
        <v>21425257</v>
      </c>
      <c r="E53" s="1" t="n">
        <v>99999829</v>
      </c>
      <c r="G53" s="1" t="n">
        <v>9</v>
      </c>
      <c r="H53" s="1" t="n">
        <f aca="false">MOD(D53,1000)</f>
        <v>257</v>
      </c>
      <c r="I53" s="1" t="n">
        <f aca="false">MOD(E53, 1000)</f>
        <v>829</v>
      </c>
    </row>
    <row r="54" customFormat="false" ht="12.75" hidden="false" customHeight="false" outlineLevel="0" collapsed="false">
      <c r="D54" s="1" t="n">
        <v>48413135</v>
      </c>
      <c r="E54" s="1" t="n">
        <v>99999809</v>
      </c>
      <c r="G54" s="1" t="n">
        <v>10</v>
      </c>
      <c r="H54" s="1" t="n">
        <f aca="false">MOD(D54,1000)</f>
        <v>135</v>
      </c>
      <c r="I54" s="1" t="n">
        <f aca="false">MOD(E54, 1000)</f>
        <v>809</v>
      </c>
    </row>
    <row r="55" customFormat="false" ht="12.75" hidden="false" customHeight="false" outlineLevel="0" collapsed="false">
      <c r="D55" s="1" t="n">
        <v>99504853</v>
      </c>
      <c r="E55" s="1" t="n">
        <v>99999789</v>
      </c>
      <c r="G55" s="1" t="n">
        <v>11</v>
      </c>
      <c r="H55" s="1" t="n">
        <v>700</v>
      </c>
      <c r="I55" s="1" t="n">
        <f aca="false">MOD(E55, 1000)</f>
        <v>789</v>
      </c>
    </row>
    <row r="56" customFormat="false" ht="12.75" hidden="false" customHeight="false" outlineLevel="0" collapsed="false">
      <c r="D56" s="1" t="n">
        <v>95805246</v>
      </c>
      <c r="E56" s="1" t="n">
        <v>99999769</v>
      </c>
      <c r="G56" s="1" t="n">
        <v>12</v>
      </c>
      <c r="H56" s="1" t="n">
        <f aca="false">MOD(D56,1000)</f>
        <v>246</v>
      </c>
      <c r="I56" s="1" t="n">
        <f aca="false">MOD(E56, 1000)</f>
        <v>769</v>
      </c>
    </row>
    <row r="57" customFormat="false" ht="12.75" hidden="false" customHeight="false" outlineLevel="0" collapsed="false">
      <c r="D57" s="1" t="n">
        <v>29131631</v>
      </c>
      <c r="E57" s="1" t="n">
        <v>99999749</v>
      </c>
      <c r="G57" s="1" t="n">
        <v>13</v>
      </c>
      <c r="H57" s="1" t="n">
        <f aca="false">MOD(D57,1000)</f>
        <v>631</v>
      </c>
      <c r="I57" s="1" t="n">
        <f aca="false">MOD(E57, 1000)</f>
        <v>749</v>
      </c>
    </row>
    <row r="58" customFormat="false" ht="12.75" hidden="false" customHeight="false" outlineLevel="0" collapsed="false">
      <c r="D58" s="1" t="n">
        <v>91990972</v>
      </c>
      <c r="E58" s="1" t="n">
        <v>99999729</v>
      </c>
      <c r="G58" s="1" t="n">
        <v>14</v>
      </c>
      <c r="H58" s="1" t="n">
        <v>248</v>
      </c>
      <c r="I58" s="1" t="n">
        <f aca="false">MOD(E58, 1000)</f>
        <v>729</v>
      </c>
    </row>
    <row r="59" customFormat="false" ht="12.75" hidden="false" customHeight="false" outlineLevel="0" collapsed="false">
      <c r="D59" s="1" t="n">
        <v>30189603</v>
      </c>
      <c r="E59" s="1" t="n">
        <v>99999709</v>
      </c>
      <c r="G59" s="1" t="n">
        <v>15</v>
      </c>
      <c r="H59" s="1" t="n">
        <v>290</v>
      </c>
      <c r="I59" s="1" t="n">
        <f aca="false">MOD(E59, 1000)</f>
        <v>709</v>
      </c>
    </row>
    <row r="68" customFormat="false" ht="12.75" hidden="false" customHeight="false" outlineLevel="0" collapsed="false">
      <c r="F68" s="1" t="s">
        <v>49</v>
      </c>
    </row>
    <row r="69" customFormat="false" ht="12.75" hidden="false" customHeight="false" outlineLevel="0" collapsed="false">
      <c r="F69" s="1" t="s">
        <v>50</v>
      </c>
    </row>
    <row r="70" customFormat="false" ht="12.75" hidden="false" customHeight="false" outlineLevel="0" collapsed="false">
      <c r="F70" s="1" t="s">
        <v>51</v>
      </c>
    </row>
    <row r="71" customFormat="false" ht="12.75" hidden="false" customHeight="false" outlineLevel="0" collapsed="false">
      <c r="F71" s="1" t="s">
        <v>52</v>
      </c>
    </row>
    <row r="72" customFormat="false" ht="12.75" hidden="false" customHeight="false" outlineLevel="0" collapsed="false">
      <c r="F72" s="1" t="s">
        <v>53</v>
      </c>
    </row>
    <row r="73" customFormat="false" ht="12.75" hidden="false" customHeight="false" outlineLevel="0" collapsed="false">
      <c r="F73" s="1" t="s">
        <v>54</v>
      </c>
    </row>
    <row r="74" customFormat="false" ht="12.75" hidden="false" customHeight="false" outlineLevel="0" collapsed="false">
      <c r="F74" s="1" t="s">
        <v>55</v>
      </c>
    </row>
    <row r="75" customFormat="false" ht="12.75" hidden="false" customHeight="false" outlineLevel="0" collapsed="false">
      <c r="F75" s="1" t="s">
        <v>56</v>
      </c>
    </row>
    <row r="76" customFormat="false" ht="12.75" hidden="false" customHeight="false" outlineLevel="0" collapsed="false">
      <c r="F76" s="1" t="s">
        <v>57</v>
      </c>
    </row>
    <row r="77" customFormat="false" ht="12.75" hidden="false" customHeight="false" outlineLevel="0" collapsed="false">
      <c r="F77" s="1" t="s">
        <v>58</v>
      </c>
    </row>
    <row r="78" customFormat="false" ht="12.75" hidden="false" customHeight="false" outlineLevel="0" collapsed="false">
      <c r="F78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77"/>
  <sheetViews>
    <sheetView showFormulas="false" showGridLines="true" showRowColHeaders="true" showZeros="true" rightToLeft="false" tabSelected="false" showOutlineSymbols="true" defaultGridColor="true" view="normal" topLeftCell="O36" colorId="64" zoomScale="100" zoomScaleNormal="100" zoomScalePageLayoutView="100" workbookViewId="0">
      <selection pane="topLeft" activeCell="AG60" activeCellId="0" sqref="AG60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4.14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</row>
    <row r="5" customFormat="false" ht="12.75" hidden="false" customHeight="false" outlineLevel="0" collapsed="false">
      <c r="C5" s="5" t="n">
        <v>1</v>
      </c>
      <c r="D5" s="10"/>
      <c r="E5" s="10"/>
      <c r="F5" s="10" t="n">
        <v>1.934</v>
      </c>
      <c r="G5" s="10" t="n">
        <v>4.238</v>
      </c>
      <c r="H5" s="1" t="n">
        <v>3.769</v>
      </c>
      <c r="I5" s="10" t="n">
        <v>3.398</v>
      </c>
      <c r="J5" s="10" t="n">
        <v>2.541</v>
      </c>
      <c r="K5" s="10" t="n">
        <v>2.571</v>
      </c>
      <c r="L5" s="10"/>
      <c r="M5" s="10"/>
      <c r="N5" s="10"/>
      <c r="O5" s="10"/>
      <c r="P5" s="10" t="n">
        <v>2.965</v>
      </c>
      <c r="Q5" s="10" t="n">
        <v>2.914</v>
      </c>
      <c r="R5" s="1" t="n">
        <v>2.8374</v>
      </c>
      <c r="T5" s="11" t="s">
        <v>79</v>
      </c>
    </row>
    <row r="6" customFormat="false" ht="12.75" hidden="false" customHeight="false" outlineLevel="0" collapsed="false">
      <c r="C6" s="5" t="s">
        <v>34</v>
      </c>
      <c r="D6" s="9"/>
      <c r="E6" s="9"/>
      <c r="F6" s="9" t="n">
        <v>11.37</v>
      </c>
      <c r="G6" s="9" t="n">
        <v>13.974</v>
      </c>
      <c r="H6" s="1" t="n">
        <v>13.385</v>
      </c>
      <c r="I6" s="9" t="n">
        <v>12.979</v>
      </c>
      <c r="J6" s="9" t="n">
        <v>12.224</v>
      </c>
      <c r="K6" s="9" t="n">
        <v>18.765</v>
      </c>
      <c r="L6" s="9"/>
      <c r="M6" s="9"/>
      <c r="N6" s="9"/>
      <c r="O6" s="9"/>
      <c r="P6" s="9" t="n">
        <v>12.976</v>
      </c>
      <c r="Q6" s="9" t="n">
        <v>27.213</v>
      </c>
      <c r="R6" s="1" t="n">
        <v>11.4622</v>
      </c>
      <c r="T6" s="11" t="s">
        <v>80</v>
      </c>
    </row>
    <row r="7" customFormat="false" ht="12.75" hidden="false" customHeight="false" outlineLevel="0" collapsed="false">
      <c r="C7" s="5" t="s">
        <v>36</v>
      </c>
      <c r="D7" s="9"/>
      <c r="E7" s="9"/>
      <c r="F7" s="9" t="n">
        <v>12.438</v>
      </c>
      <c r="G7" s="9" t="n">
        <v>14.873</v>
      </c>
      <c r="H7" s="1" t="n">
        <v>14.827</v>
      </c>
      <c r="I7" s="9" t="n">
        <v>13.86</v>
      </c>
      <c r="J7" s="9" t="n">
        <v>13.282</v>
      </c>
      <c r="K7" s="9" t="n">
        <v>20.325</v>
      </c>
      <c r="L7" s="9"/>
      <c r="M7" s="9"/>
      <c r="N7" s="9"/>
      <c r="O7" s="9"/>
      <c r="P7" s="9" t="n">
        <v>13.89</v>
      </c>
      <c r="Q7" s="9" t="n">
        <v>27.233</v>
      </c>
      <c r="R7" s="1" t="n">
        <v>11.71</v>
      </c>
      <c r="T7" s="11" t="s">
        <v>81</v>
      </c>
    </row>
    <row r="8" customFormat="false" ht="12.75" hidden="false" customHeight="false" outlineLevel="0" collapsed="false">
      <c r="C8" s="5" t="s">
        <v>38</v>
      </c>
      <c r="D8" s="9"/>
      <c r="E8" s="9"/>
      <c r="F8" s="9" t="n">
        <v>13.102</v>
      </c>
      <c r="G8" s="9" t="n">
        <v>15.401</v>
      </c>
      <c r="H8" s="1" t="n">
        <v>15.922</v>
      </c>
      <c r="I8" s="9" t="n">
        <v>14.385</v>
      </c>
      <c r="J8" s="9" t="n">
        <v>14.014</v>
      </c>
      <c r="K8" s="9" t="n">
        <v>21.259</v>
      </c>
      <c r="L8" s="9"/>
      <c r="M8" s="9"/>
      <c r="N8" s="9"/>
      <c r="O8" s="9"/>
      <c r="P8" s="9" t="n">
        <v>14.377</v>
      </c>
      <c r="Q8" s="9" t="n">
        <v>27.238</v>
      </c>
      <c r="R8" s="1" t="n">
        <v>11.9512</v>
      </c>
      <c r="T8" s="11" t="s">
        <v>82</v>
      </c>
    </row>
    <row r="9" customFormat="false" ht="12.75" hidden="false" customHeight="false" outlineLevel="0" collapsed="false">
      <c r="C9" s="5" t="s">
        <v>40</v>
      </c>
      <c r="D9" s="9"/>
      <c r="E9" s="9"/>
      <c r="F9" s="9" t="n">
        <v>13.64</v>
      </c>
      <c r="G9" s="9" t="n">
        <v>15.789</v>
      </c>
      <c r="H9" s="1" t="n">
        <v>17.196</v>
      </c>
      <c r="I9" s="9" t="n">
        <v>14.758</v>
      </c>
      <c r="J9" s="9" t="n">
        <v>14.707</v>
      </c>
      <c r="K9" s="9" t="n">
        <v>21.989</v>
      </c>
      <c r="L9" s="9"/>
      <c r="M9" s="9"/>
      <c r="N9" s="9"/>
      <c r="O9" s="9"/>
      <c r="P9" s="9" t="n">
        <v>14.814</v>
      </c>
      <c r="Q9" s="9" t="n">
        <v>27.244</v>
      </c>
      <c r="R9" s="1" t="n">
        <v>12.1987</v>
      </c>
      <c r="T9" s="11" t="s">
        <v>83</v>
      </c>
    </row>
    <row r="10" customFormat="false" ht="12.75" hidden="false" customHeight="false" outlineLevel="0" collapsed="false">
      <c r="C10" s="5" t="s">
        <v>42</v>
      </c>
      <c r="D10" s="9"/>
      <c r="E10" s="9"/>
      <c r="F10" s="9" t="n">
        <v>14.103</v>
      </c>
      <c r="G10" s="9" t="n">
        <v>16.11</v>
      </c>
      <c r="H10" s="1" t="n">
        <v>18.509</v>
      </c>
      <c r="I10" s="9" t="n">
        <v>15.06</v>
      </c>
      <c r="J10" s="9" t="n">
        <v>15.314</v>
      </c>
      <c r="K10" s="9" t="n">
        <v>22.608</v>
      </c>
      <c r="L10" s="9"/>
      <c r="M10" s="9"/>
      <c r="N10" s="9"/>
      <c r="O10" s="9"/>
      <c r="P10" s="9" t="n">
        <v>15.145</v>
      </c>
      <c r="Q10" s="9" t="n">
        <v>27.249</v>
      </c>
      <c r="R10" s="1" t="n">
        <v>12.4468</v>
      </c>
      <c r="T10" s="11" t="s">
        <v>84</v>
      </c>
    </row>
    <row r="11" customFormat="false" ht="12.75" hidden="false" customHeight="false" outlineLevel="0" collapsed="false">
      <c r="C11" s="5" t="s">
        <v>44</v>
      </c>
      <c r="D11" s="9"/>
      <c r="E11" s="9"/>
      <c r="F11" s="9" t="n">
        <v>14.548</v>
      </c>
      <c r="G11" s="9" t="n">
        <v>16.358</v>
      </c>
      <c r="H11" s="1" t="n">
        <v>19.896</v>
      </c>
      <c r="I11" s="9" t="n">
        <v>15.31</v>
      </c>
      <c r="J11" s="9" t="n">
        <v>15.901</v>
      </c>
      <c r="K11" s="9" t="n">
        <v>23.162</v>
      </c>
      <c r="L11" s="9"/>
      <c r="M11" s="9"/>
      <c r="N11" s="9"/>
      <c r="O11" s="9"/>
      <c r="P11" s="9" t="n">
        <v>15.44</v>
      </c>
      <c r="Q11" s="9" t="n">
        <v>27.254</v>
      </c>
      <c r="R11" s="1" t="n">
        <v>12.7034</v>
      </c>
    </row>
    <row r="12" customFormat="false" ht="12.75" hidden="false" customHeight="false" outlineLevel="0" collapsed="false">
      <c r="C12" s="5" t="s">
        <v>45</v>
      </c>
      <c r="D12" s="9"/>
      <c r="E12" s="9"/>
      <c r="F12" s="9" t="n">
        <v>14.97</v>
      </c>
      <c r="G12" s="9" t="n">
        <v>16.573</v>
      </c>
      <c r="H12" s="1" t="n">
        <v>21.294</v>
      </c>
      <c r="I12" s="9" t="n">
        <v>15.518</v>
      </c>
      <c r="J12" s="9" t="n">
        <v>16.461</v>
      </c>
      <c r="K12" s="9" t="n">
        <v>23.709</v>
      </c>
      <c r="L12" s="9"/>
      <c r="M12" s="9"/>
      <c r="N12" s="9"/>
      <c r="O12" s="9"/>
      <c r="P12" s="9" t="n">
        <v>15.69</v>
      </c>
      <c r="Q12" s="9" t="n">
        <v>27.259</v>
      </c>
      <c r="R12" s="1" t="n">
        <v>12.9607</v>
      </c>
    </row>
    <row r="13" customFormat="false" ht="12.75" hidden="false" customHeight="false" outlineLevel="0" collapsed="false">
      <c r="C13" s="5" t="s">
        <v>46</v>
      </c>
      <c r="D13" s="9"/>
      <c r="E13" s="9"/>
      <c r="F13" s="9" t="n">
        <v>15.452</v>
      </c>
      <c r="G13" s="9" t="n">
        <v>16.764</v>
      </c>
      <c r="H13" s="1" t="n">
        <v>22.98</v>
      </c>
      <c r="I13" s="9" t="n">
        <v>15.699</v>
      </c>
      <c r="J13" s="9" t="n">
        <v>17.081</v>
      </c>
      <c r="K13" s="9" t="n">
        <v>24.256</v>
      </c>
      <c r="L13" s="9"/>
      <c r="M13" s="9"/>
      <c r="N13" s="9"/>
      <c r="O13" s="9"/>
      <c r="P13" s="9" t="n">
        <v>15.916</v>
      </c>
      <c r="Q13" s="9" t="n">
        <v>27.263</v>
      </c>
      <c r="R13" s="1" t="n">
        <v>13.2225</v>
      </c>
    </row>
    <row r="14" customFormat="false" ht="12.75" hidden="false" customHeight="false" outlineLevel="0" collapsed="false">
      <c r="C14" s="5" t="s">
        <v>47</v>
      </c>
      <c r="D14" s="9"/>
      <c r="E14" s="9"/>
      <c r="F14" s="9" t="n">
        <v>15.921</v>
      </c>
      <c r="G14" s="9" t="n">
        <v>16.938</v>
      </c>
      <c r="H14" s="1" t="n">
        <v>24.599</v>
      </c>
      <c r="I14" s="9" t="n">
        <v>15.86</v>
      </c>
      <c r="J14" s="9" t="n">
        <v>17.835</v>
      </c>
      <c r="K14" s="9" t="n">
        <v>24.784</v>
      </c>
      <c r="L14" s="9"/>
      <c r="M14" s="9"/>
      <c r="N14" s="9"/>
      <c r="O14" s="9"/>
      <c r="P14" s="9" t="n">
        <v>16.122</v>
      </c>
      <c r="Q14" s="9" t="n">
        <v>27.269</v>
      </c>
      <c r="R14" s="1" t="n">
        <v>13.4824</v>
      </c>
    </row>
    <row r="15" customFormat="false" ht="12.75" hidden="false" customHeight="false" outlineLevel="0" collapsed="false">
      <c r="C15" s="5" t="s">
        <v>48</v>
      </c>
      <c r="D15" s="9"/>
      <c r="E15" s="9"/>
      <c r="F15" s="9" t="n">
        <v>16.437</v>
      </c>
      <c r="G15" s="9" t="n">
        <v>17.085</v>
      </c>
      <c r="H15" s="1" t="n">
        <v>27.018</v>
      </c>
      <c r="I15" s="9" t="n">
        <v>16.005</v>
      </c>
      <c r="J15" s="9" t="n">
        <v>18.699</v>
      </c>
      <c r="K15" s="9" t="n">
        <v>25.387</v>
      </c>
      <c r="L15" s="9"/>
      <c r="M15" s="9"/>
      <c r="N15" s="9"/>
      <c r="O15" s="9"/>
      <c r="P15" s="9" t="n">
        <v>16.316</v>
      </c>
      <c r="Q15" s="9" t="n">
        <v>27.274</v>
      </c>
      <c r="R15" s="1" t="n">
        <v>13.7396</v>
      </c>
    </row>
    <row r="22" customFormat="false" ht="12.75" hidden="false" customHeight="false" outlineLevel="0" collapsed="false">
      <c r="E22" s="1" t="s">
        <v>49</v>
      </c>
    </row>
    <row r="23" customFormat="false" ht="12.75" hidden="false" customHeight="false" outlineLevel="0" collapsed="false">
      <c r="E23" s="1" t="s">
        <v>50</v>
      </c>
    </row>
    <row r="24" customFormat="false" ht="12.75" hidden="false" customHeight="false" outlineLevel="0" collapsed="false">
      <c r="E24" s="1" t="s">
        <v>51</v>
      </c>
    </row>
    <row r="25" customFormat="false" ht="12.75" hidden="false" customHeight="false" outlineLevel="0" collapsed="false">
      <c r="E25" s="1" t="s">
        <v>52</v>
      </c>
    </row>
    <row r="26" customFormat="false" ht="12.75" hidden="false" customHeight="false" outlineLevel="0" collapsed="false">
      <c r="E26" s="1" t="s">
        <v>53</v>
      </c>
    </row>
    <row r="27" customFormat="false" ht="12.75" hidden="false" customHeight="false" outlineLevel="0" collapsed="false">
      <c r="E27" s="1" t="s">
        <v>54</v>
      </c>
    </row>
    <row r="28" customFormat="false" ht="12.75" hidden="false" customHeight="false" outlineLevel="0" collapsed="false">
      <c r="E28" s="1" t="s">
        <v>55</v>
      </c>
    </row>
    <row r="29" customFormat="false" ht="12.75" hidden="false" customHeight="false" outlineLevel="0" collapsed="false">
      <c r="E29" s="1" t="s">
        <v>56</v>
      </c>
    </row>
    <row r="30" customFormat="false" ht="12.75" hidden="false" customHeight="false" outlineLevel="0" collapsed="false">
      <c r="E30" s="1" t="s">
        <v>57</v>
      </c>
    </row>
    <row r="31" customFormat="false" ht="12.75" hidden="false" customHeight="false" outlineLevel="0" collapsed="false">
      <c r="E31" s="1" t="s">
        <v>58</v>
      </c>
    </row>
    <row r="32" customFormat="false" ht="12.75" hidden="false" customHeight="false" outlineLevel="0" collapsed="false">
      <c r="E32" s="1" t="s">
        <v>59</v>
      </c>
    </row>
    <row r="33" customFormat="false" ht="12.75" hidden="false" customHeight="false" outlineLevel="0" collapsed="false">
      <c r="E33" s="1" t="s">
        <v>85</v>
      </c>
    </row>
    <row r="34" customFormat="false" ht="12.75" hidden="false" customHeight="false" outlineLevel="0" collapsed="false">
      <c r="E34" s="1" t="s">
        <v>86</v>
      </c>
    </row>
    <row r="35" customFormat="false" ht="12.75" hidden="false" customHeight="false" outlineLevel="0" collapsed="false">
      <c r="E35" s="1" t="s">
        <v>87</v>
      </c>
    </row>
    <row r="36" customFormat="false" ht="12.75" hidden="false" customHeight="false" outlineLevel="0" collapsed="false">
      <c r="E36" s="1" t="s">
        <v>88</v>
      </c>
    </row>
    <row r="37" customFormat="false" ht="12.75" hidden="false" customHeight="false" outlineLevel="0" collapsed="false">
      <c r="E37" s="1" t="s">
        <v>89</v>
      </c>
    </row>
    <row r="38" customFormat="false" ht="12.75" hidden="false" customHeight="false" outlineLevel="0" collapsed="false">
      <c r="E38" s="1" t="s">
        <v>68</v>
      </c>
    </row>
    <row r="45" customFormat="false" ht="23.85" hidden="false" customHeight="false" outlineLevel="0" collapsed="false">
      <c r="K45" s="12" t="s">
        <v>60</v>
      </c>
      <c r="L45" s="11" t="s">
        <v>61</v>
      </c>
      <c r="M45" s="11" t="s">
        <v>62</v>
      </c>
    </row>
    <row r="46" customFormat="false" ht="12.75" hidden="false" customHeight="false" outlineLevel="0" collapsed="false">
      <c r="H46" s="1" t="n">
        <v>10</v>
      </c>
      <c r="I46" s="1" t="n">
        <v>82375201</v>
      </c>
      <c r="K46" s="1" t="n">
        <v>1</v>
      </c>
      <c r="L46" s="1" t="n">
        <f aca="false">MOD(H46,1000)</f>
        <v>10</v>
      </c>
      <c r="M46" s="1" t="n">
        <f aca="false">MOD(I46, 1000)</f>
        <v>201</v>
      </c>
    </row>
    <row r="47" customFormat="false" ht="12.75" hidden="false" customHeight="false" outlineLevel="0" collapsed="false">
      <c r="H47" s="1" t="n">
        <v>30</v>
      </c>
      <c r="I47" s="1" t="n">
        <v>69181565</v>
      </c>
      <c r="K47" s="1" t="n">
        <v>2</v>
      </c>
      <c r="L47" s="1" t="n">
        <f aca="false">MOD(H47,1000)</f>
        <v>30</v>
      </c>
      <c r="M47" s="1" t="n">
        <f aca="false">MOD(I47, 1000)</f>
        <v>565</v>
      </c>
    </row>
    <row r="48" customFormat="false" ht="12.75" hidden="false" customHeight="false" outlineLevel="0" collapsed="false">
      <c r="H48" s="1" t="n">
        <v>50</v>
      </c>
      <c r="I48" s="1" t="n">
        <v>21356961</v>
      </c>
      <c r="K48" s="1" t="n">
        <v>3</v>
      </c>
      <c r="L48" s="1" t="n">
        <f aca="false">MOD(H48,1000)</f>
        <v>50</v>
      </c>
      <c r="M48" s="1" t="n">
        <f aca="false">MOD(I48, 1000)</f>
        <v>961</v>
      </c>
    </row>
    <row r="49" customFormat="false" ht="12.75" hidden="false" customHeight="false" outlineLevel="0" collapsed="false">
      <c r="H49" s="1" t="n">
        <v>70</v>
      </c>
      <c r="I49" s="1" t="n">
        <v>28210345</v>
      </c>
      <c r="K49" s="1" t="n">
        <v>4</v>
      </c>
      <c r="L49" s="1" t="n">
        <f aca="false">MOD(H49,1000)</f>
        <v>70</v>
      </c>
      <c r="M49" s="1" t="n">
        <f aca="false">MOD(I49, 1000)</f>
        <v>345</v>
      </c>
    </row>
    <row r="50" customFormat="false" ht="12.75" hidden="false" customHeight="false" outlineLevel="0" collapsed="false">
      <c r="H50" s="1" t="n">
        <v>90</v>
      </c>
      <c r="I50" s="1" t="n">
        <v>17150828</v>
      </c>
      <c r="K50" s="1" t="n">
        <v>5</v>
      </c>
      <c r="L50" s="1" t="n">
        <f aca="false">MOD(H50,1000)</f>
        <v>90</v>
      </c>
      <c r="M50" s="1" t="n">
        <f aca="false">MOD(I50, 1000)</f>
        <v>828</v>
      </c>
    </row>
    <row r="51" customFormat="false" ht="12.75" hidden="false" customHeight="false" outlineLevel="0" collapsed="false">
      <c r="H51" s="1" t="n">
        <v>110</v>
      </c>
      <c r="I51" s="1" t="n">
        <v>61663830</v>
      </c>
      <c r="K51" s="1" t="n">
        <v>6</v>
      </c>
      <c r="L51" s="1" t="n">
        <f aca="false">MOD(H51,1000)</f>
        <v>110</v>
      </c>
      <c r="M51" s="1" t="n">
        <f aca="false">MOD(I51, 1000)</f>
        <v>830</v>
      </c>
    </row>
    <row r="52" customFormat="false" ht="12.75" hidden="false" customHeight="false" outlineLevel="0" collapsed="false">
      <c r="H52" s="1" t="n">
        <v>130</v>
      </c>
      <c r="I52" s="1" t="n">
        <v>78456085</v>
      </c>
      <c r="K52" s="1" t="n">
        <v>7</v>
      </c>
      <c r="L52" s="1" t="n">
        <f aca="false">MOD(H52,1000)</f>
        <v>130</v>
      </c>
      <c r="M52" s="1" t="n">
        <v>700</v>
      </c>
    </row>
    <row r="53" customFormat="false" ht="12.75" hidden="false" customHeight="false" outlineLevel="0" collapsed="false">
      <c r="H53" s="1" t="n">
        <v>150</v>
      </c>
      <c r="I53" s="1" t="n">
        <v>73789576</v>
      </c>
      <c r="K53" s="1" t="n">
        <v>8</v>
      </c>
      <c r="L53" s="1" t="n">
        <f aca="false">MOD(H53,1000)</f>
        <v>150</v>
      </c>
      <c r="M53" s="1" t="n">
        <f aca="false">MOD(I53, 1000)</f>
        <v>576</v>
      </c>
    </row>
    <row r="54" customFormat="false" ht="12.75" hidden="false" customHeight="false" outlineLevel="0" collapsed="false">
      <c r="H54" s="1" t="n">
        <v>170</v>
      </c>
      <c r="I54" s="1" t="n">
        <v>14574211</v>
      </c>
      <c r="K54" s="1" t="n">
        <v>9</v>
      </c>
      <c r="L54" s="1" t="n">
        <f aca="false">MOD(H54,1000)</f>
        <v>170</v>
      </c>
      <c r="M54" s="1" t="n">
        <f aca="false">MOD(I54, 1000)</f>
        <v>211</v>
      </c>
    </row>
    <row r="55" customFormat="false" ht="12.75" hidden="false" customHeight="false" outlineLevel="0" collapsed="false">
      <c r="H55" s="1" t="n">
        <v>190</v>
      </c>
      <c r="I55" s="1" t="n">
        <v>98565759</v>
      </c>
      <c r="K55" s="1" t="n">
        <v>10</v>
      </c>
      <c r="L55" s="1" t="n">
        <f aca="false">MOD(H55,1000)</f>
        <v>190</v>
      </c>
      <c r="M55" s="1" t="n">
        <f aca="false">MOD(I55, 1000)</f>
        <v>759</v>
      </c>
    </row>
    <row r="56" customFormat="false" ht="12.75" hidden="false" customHeight="false" outlineLevel="0" collapsed="false">
      <c r="H56" s="1" t="n">
        <v>210</v>
      </c>
      <c r="I56" s="1" t="n">
        <v>23992869</v>
      </c>
      <c r="K56" s="1" t="n">
        <v>11</v>
      </c>
      <c r="L56" s="1" t="n">
        <f aca="false">MOD(H56,1000)</f>
        <v>210</v>
      </c>
      <c r="M56" s="1" t="n">
        <f aca="false">MOD(I56, 1000)</f>
        <v>869</v>
      </c>
    </row>
    <row r="57" customFormat="false" ht="12.75" hidden="false" customHeight="false" outlineLevel="0" collapsed="false">
      <c r="H57" s="1" t="n">
        <v>230</v>
      </c>
      <c r="I57" s="1" t="n">
        <v>48723422</v>
      </c>
      <c r="K57" s="1" t="n">
        <v>12</v>
      </c>
      <c r="L57" s="1" t="n">
        <f aca="false">MOD(H57,1000)</f>
        <v>230</v>
      </c>
      <c r="M57" s="1" t="n">
        <f aca="false">MOD(I57, 1000)</f>
        <v>422</v>
      </c>
    </row>
    <row r="58" customFormat="false" ht="12.75" hidden="false" customHeight="false" outlineLevel="0" collapsed="false">
      <c r="H58" s="1" t="n">
        <v>250</v>
      </c>
      <c r="I58" s="1" t="n">
        <v>61097564</v>
      </c>
      <c r="K58" s="1" t="n">
        <v>13</v>
      </c>
      <c r="L58" s="1" t="n">
        <f aca="false">MOD(H58,1000)</f>
        <v>250</v>
      </c>
      <c r="M58" s="1" t="n">
        <f aca="false">MOD(I58, 1000)</f>
        <v>564</v>
      </c>
    </row>
    <row r="59" customFormat="false" ht="12.75" hidden="false" customHeight="false" outlineLevel="0" collapsed="false">
      <c r="H59" s="1" t="n">
        <v>270</v>
      </c>
      <c r="I59" s="1" t="n">
        <v>47090988</v>
      </c>
      <c r="K59" s="1" t="n">
        <v>14</v>
      </c>
      <c r="L59" s="1" t="n">
        <f aca="false">MOD(H59,1000)</f>
        <v>270</v>
      </c>
      <c r="M59" s="1" t="n">
        <f aca="false">MOD(I59, 1000)</f>
        <v>988</v>
      </c>
    </row>
    <row r="60" customFormat="false" ht="12.75" hidden="false" customHeight="false" outlineLevel="0" collapsed="false">
      <c r="K60" s="1" t="n">
        <v>15</v>
      </c>
      <c r="L60" s="1" t="n">
        <v>290</v>
      </c>
      <c r="M60" s="1" t="n">
        <v>410</v>
      </c>
    </row>
    <row r="67" customFormat="false" ht="12.75" hidden="false" customHeight="false" outlineLevel="0" collapsed="false">
      <c r="H67" s="1" t="s">
        <v>49</v>
      </c>
      <c r="I67" s="1" t="n">
        <v>1.62751</v>
      </c>
    </row>
    <row r="68" customFormat="false" ht="12.75" hidden="false" customHeight="false" outlineLevel="0" collapsed="false">
      <c r="H68" s="1" t="s">
        <v>50</v>
      </c>
      <c r="I68" s="1" t="n">
        <v>28.1416</v>
      </c>
    </row>
    <row r="69" customFormat="false" ht="12.75" hidden="false" customHeight="false" outlineLevel="0" collapsed="false">
      <c r="H69" s="1" t="s">
        <v>51</v>
      </c>
      <c r="I69" s="1" t="n">
        <v>29.6236</v>
      </c>
    </row>
    <row r="70" customFormat="false" ht="12.75" hidden="false" customHeight="false" outlineLevel="0" collapsed="false">
      <c r="H70" s="1" t="s">
        <v>52</v>
      </c>
      <c r="I70" s="1" t="n">
        <v>31.0672</v>
      </c>
    </row>
    <row r="71" customFormat="false" ht="12.75" hidden="false" customHeight="false" outlineLevel="0" collapsed="false">
      <c r="H71" s="1" t="s">
        <v>53</v>
      </c>
      <c r="I71" s="1" t="n">
        <v>32.5398</v>
      </c>
    </row>
    <row r="72" customFormat="false" ht="12.75" hidden="false" customHeight="false" outlineLevel="0" collapsed="false">
      <c r="H72" s="1" t="s">
        <v>54</v>
      </c>
      <c r="I72" s="1" t="n">
        <v>34.0235</v>
      </c>
    </row>
    <row r="73" customFormat="false" ht="12.75" hidden="false" customHeight="false" outlineLevel="0" collapsed="false">
      <c r="H73" s="1" t="s">
        <v>55</v>
      </c>
      <c r="I73" s="1" t="n">
        <v>35.5201</v>
      </c>
    </row>
    <row r="74" customFormat="false" ht="12.75" hidden="false" customHeight="false" outlineLevel="0" collapsed="false">
      <c r="H74" s="1" t="s">
        <v>56</v>
      </c>
      <c r="I74" s="1" t="n">
        <v>36.9871</v>
      </c>
    </row>
    <row r="75" customFormat="false" ht="12.75" hidden="false" customHeight="false" outlineLevel="0" collapsed="false">
      <c r="H75" s="1" t="s">
        <v>57</v>
      </c>
      <c r="I75" s="1" t="n">
        <v>38.436</v>
      </c>
    </row>
    <row r="76" customFormat="false" ht="12.75" hidden="false" customHeight="false" outlineLevel="0" collapsed="false">
      <c r="H76" s="1" t="s">
        <v>58</v>
      </c>
      <c r="I76" s="1" t="n">
        <v>39.8955</v>
      </c>
    </row>
    <row r="77" customFormat="false" ht="12.75" hidden="false" customHeight="false" outlineLevel="0" collapsed="false">
      <c r="H77" s="1" t="s">
        <v>59</v>
      </c>
      <c r="I77" s="1" t="n">
        <v>41.3909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79"/>
  <sheetViews>
    <sheetView showFormulas="false" showGridLines="true" showRowColHeaders="true" showZeros="true" rightToLeft="false" tabSelected="false" showOutlineSymbols="true" defaultGridColor="true" view="normal" topLeftCell="L12" colorId="64" zoomScale="100" zoomScaleNormal="100" zoomScalePageLayoutView="100" workbookViewId="0">
      <selection pane="topLeft" activeCell="AE54" activeCellId="0" sqref="AE54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0"/>
  </cols>
  <sheetData>
    <row r="4" customFormat="false" ht="12.75" hidden="false" customHeight="false" outlineLevel="0" collapsed="false"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30</v>
      </c>
    </row>
    <row r="5" customFormat="false" ht="12.75" hidden="false" customHeight="false" outlineLevel="0" collapsed="false">
      <c r="C5" s="5" t="n">
        <v>1</v>
      </c>
      <c r="D5" s="10"/>
      <c r="E5" s="10"/>
      <c r="F5" s="10" t="n">
        <v>2.269</v>
      </c>
      <c r="G5" s="10" t="n">
        <v>4.777</v>
      </c>
      <c r="H5" s="10" t="n">
        <v>3.635</v>
      </c>
      <c r="I5" s="10" t="n">
        <v>3.558</v>
      </c>
      <c r="J5" s="10" t="n">
        <v>2.484</v>
      </c>
      <c r="K5" s="10" t="n">
        <v>2.752</v>
      </c>
      <c r="L5" s="10"/>
      <c r="M5" s="10"/>
      <c r="N5" s="10"/>
      <c r="O5" s="10"/>
      <c r="P5" s="10" t="n">
        <v>3.238</v>
      </c>
      <c r="Q5" s="10" t="n">
        <v>3.275</v>
      </c>
      <c r="R5" s="1" t="n">
        <v>4.11332</v>
      </c>
      <c r="T5" s="11" t="s">
        <v>90</v>
      </c>
    </row>
    <row r="6" customFormat="false" ht="12.75" hidden="false" customHeight="false" outlineLevel="0" collapsed="false">
      <c r="C6" s="5" t="s">
        <v>34</v>
      </c>
      <c r="D6" s="10"/>
      <c r="E6" s="10"/>
      <c r="F6" s="10" t="n">
        <v>10.656</v>
      </c>
      <c r="G6" s="10" t="n">
        <v>13.724</v>
      </c>
      <c r="H6" s="10" t="n">
        <v>12.532</v>
      </c>
      <c r="I6" s="10" t="n">
        <v>12.305</v>
      </c>
      <c r="J6" s="10" t="n">
        <v>12.29</v>
      </c>
      <c r="K6" s="10" t="n">
        <v>19.345</v>
      </c>
      <c r="L6" s="10"/>
      <c r="M6" s="10"/>
      <c r="N6" s="10"/>
      <c r="O6" s="10"/>
      <c r="P6" s="10" t="n">
        <v>13.585</v>
      </c>
      <c r="Q6" s="10" t="n">
        <v>25.936</v>
      </c>
      <c r="R6" s="1" t="n">
        <v>11.3535</v>
      </c>
      <c r="T6" s="11" t="s">
        <v>91</v>
      </c>
    </row>
    <row r="7" customFormat="false" ht="12.75" hidden="false" customHeight="false" outlineLevel="0" collapsed="false">
      <c r="C7" s="5" t="s">
        <v>36</v>
      </c>
      <c r="D7" s="10"/>
      <c r="E7" s="10"/>
      <c r="F7" s="10" t="n">
        <v>11.597</v>
      </c>
      <c r="G7" s="10" t="n">
        <v>14.629</v>
      </c>
      <c r="H7" s="10" t="n">
        <v>13.88</v>
      </c>
      <c r="I7" s="10" t="n">
        <v>13.167</v>
      </c>
      <c r="J7" s="10" t="n">
        <v>13.38</v>
      </c>
      <c r="K7" s="10" t="n">
        <v>21.056</v>
      </c>
      <c r="L7" s="10"/>
      <c r="M7" s="10"/>
      <c r="N7" s="10"/>
      <c r="O7" s="10"/>
      <c r="P7" s="10" t="n">
        <v>14.582</v>
      </c>
      <c r="Q7" s="10" t="n">
        <v>25.95</v>
      </c>
      <c r="R7" s="1" t="n">
        <v>11.4994</v>
      </c>
      <c r="T7" s="11" t="s">
        <v>92</v>
      </c>
    </row>
    <row r="8" customFormat="false" ht="12.75" hidden="false" customHeight="false" outlineLevel="0" collapsed="false">
      <c r="C8" s="5" t="s">
        <v>38</v>
      </c>
      <c r="D8" s="10"/>
      <c r="E8" s="10"/>
      <c r="F8" s="10" t="n">
        <v>12.184</v>
      </c>
      <c r="G8" s="10" t="n">
        <v>15.151</v>
      </c>
      <c r="H8" s="10" t="n">
        <v>15.088</v>
      </c>
      <c r="I8" s="10" t="n">
        <v>13.676</v>
      </c>
      <c r="J8" s="10" t="n">
        <v>14.159</v>
      </c>
      <c r="K8" s="10" t="n">
        <v>22.149</v>
      </c>
      <c r="L8" s="10"/>
      <c r="M8" s="10"/>
      <c r="N8" s="10"/>
      <c r="O8" s="10"/>
      <c r="P8" s="10" t="n">
        <v>15.21</v>
      </c>
      <c r="Q8" s="10" t="n">
        <v>25.955</v>
      </c>
      <c r="R8" s="1" t="n">
        <v>11.6515</v>
      </c>
      <c r="T8" s="11" t="s">
        <v>93</v>
      </c>
    </row>
    <row r="9" customFormat="false" ht="12.75" hidden="false" customHeight="false" outlineLevel="0" collapsed="false">
      <c r="C9" s="5" t="s">
        <v>40</v>
      </c>
      <c r="D9" s="10"/>
      <c r="E9" s="10"/>
      <c r="F9" s="10" t="n">
        <v>12.675</v>
      </c>
      <c r="G9" s="10" t="n">
        <v>15.533</v>
      </c>
      <c r="H9" s="10" t="n">
        <v>16.663</v>
      </c>
      <c r="I9" s="10" t="n">
        <v>14.049</v>
      </c>
      <c r="J9" s="10" t="n">
        <v>14.93</v>
      </c>
      <c r="K9" s="10" t="n">
        <v>22.953</v>
      </c>
      <c r="L9" s="10"/>
      <c r="M9" s="10"/>
      <c r="N9" s="10"/>
      <c r="O9" s="10"/>
      <c r="P9" s="10" t="n">
        <v>15.725</v>
      </c>
      <c r="Q9" s="10" t="n">
        <v>25.962</v>
      </c>
      <c r="R9" s="1" t="n">
        <v>11.8024</v>
      </c>
      <c r="T9" s="11" t="s">
        <v>94</v>
      </c>
    </row>
    <row r="10" customFormat="false" ht="12.75" hidden="false" customHeight="false" outlineLevel="0" collapsed="false">
      <c r="C10" s="5" t="s">
        <v>42</v>
      </c>
      <c r="D10" s="10"/>
      <c r="E10" s="10"/>
      <c r="F10" s="10" t="n">
        <v>13.096</v>
      </c>
      <c r="G10" s="10" t="n">
        <v>15.827</v>
      </c>
      <c r="H10" s="10" t="n">
        <v>18.388</v>
      </c>
      <c r="I10" s="10" t="n">
        <v>14.332</v>
      </c>
      <c r="J10" s="10" t="n">
        <v>15.613</v>
      </c>
      <c r="K10" s="10" t="n">
        <v>23.751</v>
      </c>
      <c r="L10" s="10"/>
      <c r="M10" s="10"/>
      <c r="N10" s="10"/>
      <c r="O10" s="10"/>
      <c r="P10" s="10" t="n">
        <v>16.099</v>
      </c>
      <c r="Q10" s="10" t="n">
        <v>25.966</v>
      </c>
      <c r="R10" s="1" t="n">
        <v>11.9614</v>
      </c>
      <c r="T10" s="11" t="s">
        <v>68</v>
      </c>
    </row>
    <row r="11" customFormat="false" ht="12.75" hidden="false" customHeight="false" outlineLevel="0" collapsed="false">
      <c r="C11" s="5" t="s">
        <v>44</v>
      </c>
      <c r="D11" s="10"/>
      <c r="E11" s="10"/>
      <c r="F11" s="10" t="n">
        <v>13.508</v>
      </c>
      <c r="G11" s="10" t="n">
        <v>16.088</v>
      </c>
      <c r="H11" s="10" t="n">
        <v>20.408</v>
      </c>
      <c r="I11" s="10" t="n">
        <v>14.578</v>
      </c>
      <c r="J11" s="10" t="n">
        <v>16.371</v>
      </c>
      <c r="K11" s="10" t="n">
        <v>24.558</v>
      </c>
      <c r="L11" s="10"/>
      <c r="M11" s="10"/>
      <c r="N11" s="10"/>
      <c r="O11" s="10"/>
      <c r="P11" s="10" t="n">
        <v>16.434</v>
      </c>
      <c r="Q11" s="10" t="n">
        <v>25.971</v>
      </c>
      <c r="R11" s="1" t="n">
        <v>12.1296</v>
      </c>
    </row>
    <row r="12" customFormat="false" ht="12.75" hidden="false" customHeight="false" outlineLevel="0" collapsed="false">
      <c r="C12" s="5" t="s">
        <v>45</v>
      </c>
      <c r="D12" s="10"/>
      <c r="E12" s="10"/>
      <c r="F12" s="10" t="n">
        <v>13.939</v>
      </c>
      <c r="G12" s="10" t="n">
        <v>16.307</v>
      </c>
      <c r="H12" s="10" t="n">
        <v>23.025</v>
      </c>
      <c r="I12" s="10" t="n">
        <v>14.776</v>
      </c>
      <c r="J12" s="10" t="n">
        <v>17.269</v>
      </c>
      <c r="K12" s="10" t="n">
        <v>25.339</v>
      </c>
      <c r="L12" s="10"/>
      <c r="M12" s="10"/>
      <c r="N12" s="10"/>
      <c r="O12" s="10"/>
      <c r="P12" s="10" t="n">
        <v>16.771</v>
      </c>
      <c r="Q12" s="10" t="n">
        <v>25.976</v>
      </c>
      <c r="R12" s="1" t="n">
        <v>12.3099</v>
      </c>
    </row>
    <row r="13" customFormat="false" ht="12.75" hidden="false" customHeight="false" outlineLevel="0" collapsed="false">
      <c r="C13" s="5" t="s">
        <v>46</v>
      </c>
      <c r="D13" s="10"/>
      <c r="E13" s="10"/>
      <c r="F13" s="10" t="n">
        <v>14.425</v>
      </c>
      <c r="G13" s="10" t="n">
        <v>16.495</v>
      </c>
      <c r="H13" s="10" t="n">
        <v>26.051</v>
      </c>
      <c r="I13" s="10" t="n">
        <v>14.955</v>
      </c>
      <c r="J13" s="10" t="n">
        <v>18.355</v>
      </c>
      <c r="K13" s="10" t="n">
        <v>26.156</v>
      </c>
      <c r="L13" s="10"/>
      <c r="M13" s="10"/>
      <c r="N13" s="10"/>
      <c r="O13" s="10"/>
      <c r="P13" s="10" t="n">
        <v>17.095</v>
      </c>
      <c r="Q13" s="10" t="n">
        <v>25.98</v>
      </c>
      <c r="R13" s="1" t="n">
        <v>12.4974</v>
      </c>
    </row>
    <row r="14" customFormat="false" ht="12.75" hidden="false" customHeight="false" outlineLevel="0" collapsed="false">
      <c r="C14" s="5" t="s">
        <v>47</v>
      </c>
      <c r="D14" s="10"/>
      <c r="E14" s="10"/>
      <c r="F14" s="10" t="n">
        <v>14.907</v>
      </c>
      <c r="G14" s="10" t="n">
        <v>16.674</v>
      </c>
      <c r="H14" s="10" t="n">
        <v>29.072</v>
      </c>
      <c r="I14" s="10" t="n">
        <v>15.118</v>
      </c>
      <c r="J14" s="10" t="n">
        <v>19.401</v>
      </c>
      <c r="K14" s="10" t="n">
        <v>26.893</v>
      </c>
      <c r="L14" s="10"/>
      <c r="M14" s="10"/>
      <c r="N14" s="10"/>
      <c r="O14" s="10"/>
      <c r="P14" s="10" t="n">
        <v>17.412</v>
      </c>
      <c r="Q14" s="10" t="n">
        <v>25.985</v>
      </c>
      <c r="R14" s="1" t="n">
        <v>14.8831</v>
      </c>
    </row>
    <row r="15" customFormat="false" ht="12.75" hidden="false" customHeight="false" outlineLevel="0" collapsed="false">
      <c r="C15" s="5" t="s">
        <v>48</v>
      </c>
      <c r="D15" s="10"/>
      <c r="E15" s="10"/>
      <c r="F15" s="10" t="n">
        <v>15.461</v>
      </c>
      <c r="G15" s="10" t="n">
        <v>16.827</v>
      </c>
      <c r="H15" s="10" t="n">
        <v>32.893</v>
      </c>
      <c r="I15" s="10" t="n">
        <v>15.262</v>
      </c>
      <c r="J15" s="10" t="n">
        <v>20.584</v>
      </c>
      <c r="K15" s="10" t="n">
        <v>27.712</v>
      </c>
      <c r="L15" s="10"/>
      <c r="M15" s="10"/>
      <c r="N15" s="10"/>
      <c r="O15" s="10"/>
      <c r="P15" s="10" t="n">
        <v>17.75</v>
      </c>
      <c r="Q15" s="10" t="n">
        <v>25.99</v>
      </c>
      <c r="R15" s="1" t="n">
        <v>17.1977</v>
      </c>
    </row>
    <row r="26" customFormat="false" ht="12.75" hidden="false" customHeight="false" outlineLevel="0" collapsed="false">
      <c r="E26" s="1" t="s">
        <v>49</v>
      </c>
    </row>
    <row r="27" customFormat="false" ht="12.75" hidden="false" customHeight="false" outlineLevel="0" collapsed="false">
      <c r="E27" s="1" t="s">
        <v>50</v>
      </c>
    </row>
    <row r="28" customFormat="false" ht="12.75" hidden="false" customHeight="false" outlineLevel="0" collapsed="false">
      <c r="E28" s="1" t="s">
        <v>51</v>
      </c>
    </row>
    <row r="29" customFormat="false" ht="12.75" hidden="false" customHeight="false" outlineLevel="0" collapsed="false">
      <c r="E29" s="1" t="s">
        <v>52</v>
      </c>
    </row>
    <row r="30" customFormat="false" ht="12.75" hidden="false" customHeight="false" outlineLevel="0" collapsed="false">
      <c r="E30" s="1" t="s">
        <v>53</v>
      </c>
    </row>
    <row r="31" customFormat="false" ht="12.75" hidden="false" customHeight="false" outlineLevel="0" collapsed="false">
      <c r="E31" s="1" t="s">
        <v>54</v>
      </c>
    </row>
    <row r="32" customFormat="false" ht="12.75" hidden="false" customHeight="false" outlineLevel="0" collapsed="false">
      <c r="E32" s="1" t="s">
        <v>55</v>
      </c>
    </row>
    <row r="33" customFormat="false" ht="12.75" hidden="false" customHeight="false" outlineLevel="0" collapsed="false">
      <c r="E33" s="1" t="s">
        <v>56</v>
      </c>
    </row>
    <row r="34" customFormat="false" ht="12.75" hidden="false" customHeight="false" outlineLevel="0" collapsed="false">
      <c r="E34" s="1" t="s">
        <v>57</v>
      </c>
    </row>
    <row r="35" customFormat="false" ht="12.75" hidden="false" customHeight="false" outlineLevel="0" collapsed="false">
      <c r="E35" s="1" t="s">
        <v>58</v>
      </c>
    </row>
    <row r="36" customFormat="false" ht="12.75" hidden="false" customHeight="false" outlineLevel="0" collapsed="false">
      <c r="E36" s="1" t="s">
        <v>59</v>
      </c>
    </row>
    <row r="47" customFormat="false" ht="23.85" hidden="false" customHeight="false" outlineLevel="0" collapsed="false">
      <c r="G47" s="12" t="s">
        <v>60</v>
      </c>
      <c r="H47" s="11" t="s">
        <v>61</v>
      </c>
      <c r="I47" s="11" t="s">
        <v>62</v>
      </c>
    </row>
    <row r="48" customFormat="false" ht="12.75" hidden="false" customHeight="false" outlineLevel="0" collapsed="false">
      <c r="D48" s="1" t="n">
        <v>1038281</v>
      </c>
      <c r="E48" s="1" t="n">
        <v>30763387</v>
      </c>
      <c r="G48" s="1" t="n">
        <v>1</v>
      </c>
      <c r="H48" s="1" t="n">
        <f aca="false">MOD(D48,1000)</f>
        <v>281</v>
      </c>
      <c r="I48" s="1" t="n">
        <f aca="false">MOD(E48, 1000)</f>
        <v>387</v>
      </c>
    </row>
    <row r="49" customFormat="false" ht="12.75" hidden="false" customHeight="false" outlineLevel="0" collapsed="false">
      <c r="D49" s="1" t="n">
        <v>30</v>
      </c>
      <c r="E49" s="1" t="n">
        <v>21459602</v>
      </c>
      <c r="G49" s="1" t="n">
        <v>2</v>
      </c>
      <c r="H49" s="1" t="n">
        <f aca="false">MOD(D49,1000)</f>
        <v>30</v>
      </c>
      <c r="I49" s="1" t="n">
        <f aca="false">MOD(E49, 1000)</f>
        <v>602</v>
      </c>
    </row>
    <row r="50" customFormat="false" ht="12.75" hidden="false" customHeight="false" outlineLevel="0" collapsed="false">
      <c r="D50" s="1" t="n">
        <v>39838344</v>
      </c>
      <c r="E50" s="1" t="n">
        <v>88333643</v>
      </c>
      <c r="G50" s="1" t="n">
        <v>3</v>
      </c>
      <c r="H50" s="1" t="n">
        <f aca="false">MOD(D50,1000)</f>
        <v>344</v>
      </c>
      <c r="I50" s="1" t="n">
        <f aca="false">MOD(E50, 1000)</f>
        <v>643</v>
      </c>
    </row>
    <row r="51" customFormat="false" ht="12.75" hidden="false" customHeight="false" outlineLevel="0" collapsed="false">
      <c r="D51" s="1" t="n">
        <v>70</v>
      </c>
      <c r="E51" s="1" t="n">
        <v>60945341</v>
      </c>
      <c r="G51" s="1" t="n">
        <v>4</v>
      </c>
      <c r="H51" s="1" t="n">
        <f aca="false">MOD(D51,1000)</f>
        <v>70</v>
      </c>
      <c r="I51" s="1" t="n">
        <f aca="false">MOD(E51, 1000)</f>
        <v>341</v>
      </c>
    </row>
    <row r="52" customFormat="false" ht="12.75" hidden="false" customHeight="false" outlineLevel="0" collapsed="false">
      <c r="D52" s="1" t="n">
        <v>18567675</v>
      </c>
      <c r="E52" s="1" t="n">
        <v>45478848</v>
      </c>
      <c r="G52" s="1" t="n">
        <v>5</v>
      </c>
      <c r="H52" s="1" t="n">
        <f aca="false">MOD(D52,1000)</f>
        <v>675</v>
      </c>
      <c r="I52" s="1" t="n">
        <f aca="false">MOD(E52, 1000)</f>
        <v>848</v>
      </c>
    </row>
    <row r="53" customFormat="false" ht="12.75" hidden="false" customHeight="false" outlineLevel="0" collapsed="false">
      <c r="D53" s="1" t="n">
        <v>110</v>
      </c>
      <c r="E53" s="1" t="n">
        <v>55867662</v>
      </c>
      <c r="G53" s="1" t="n">
        <v>6</v>
      </c>
      <c r="H53" s="1" t="n">
        <f aca="false">MOD(D53,1000)</f>
        <v>110</v>
      </c>
      <c r="I53" s="1" t="n">
        <f aca="false">MOD(E53, 1000)</f>
        <v>662</v>
      </c>
    </row>
    <row r="54" customFormat="false" ht="12.75" hidden="false" customHeight="false" outlineLevel="0" collapsed="false">
      <c r="D54" s="1" t="n">
        <v>6779245</v>
      </c>
      <c r="E54" s="1" t="n">
        <v>11234261</v>
      </c>
      <c r="G54" s="1" t="n">
        <v>7</v>
      </c>
      <c r="H54" s="1" t="n">
        <f aca="false">MOD(D54,1000)</f>
        <v>245</v>
      </c>
      <c r="I54" s="1" t="n">
        <v>700</v>
      </c>
    </row>
    <row r="55" customFormat="false" ht="12.75" hidden="false" customHeight="false" outlineLevel="0" collapsed="false">
      <c r="D55" s="1" t="n">
        <v>150</v>
      </c>
      <c r="E55" s="1" t="n">
        <v>20373785</v>
      </c>
      <c r="G55" s="1" t="n">
        <v>8</v>
      </c>
      <c r="H55" s="1" t="n">
        <f aca="false">MOD(D55,1000)</f>
        <v>150</v>
      </c>
      <c r="I55" s="1" t="n">
        <f aca="false">MOD(E55, 1000)</f>
        <v>785</v>
      </c>
    </row>
    <row r="56" customFormat="false" ht="12.75" hidden="false" customHeight="false" outlineLevel="0" collapsed="false">
      <c r="D56" s="1" t="n">
        <v>74314059</v>
      </c>
      <c r="E56" s="1" t="n">
        <v>74464734</v>
      </c>
      <c r="G56" s="1" t="n">
        <v>9</v>
      </c>
      <c r="H56" s="1" t="n">
        <f aca="false">MOD(D56,1000)</f>
        <v>59</v>
      </c>
      <c r="I56" s="1" t="n">
        <f aca="false">MOD(E56, 1000)</f>
        <v>734</v>
      </c>
    </row>
    <row r="57" customFormat="false" ht="12.75" hidden="false" customHeight="false" outlineLevel="0" collapsed="false">
      <c r="D57" s="1" t="n">
        <v>190</v>
      </c>
      <c r="E57" s="1" t="n">
        <v>98495414</v>
      </c>
      <c r="G57" s="1" t="n">
        <v>10</v>
      </c>
      <c r="H57" s="1" t="n">
        <f aca="false">MOD(D57,1000)</f>
        <v>190</v>
      </c>
      <c r="I57" s="1" t="n">
        <f aca="false">MOD(E57, 1000)</f>
        <v>414</v>
      </c>
    </row>
    <row r="58" customFormat="false" ht="12.75" hidden="false" customHeight="false" outlineLevel="0" collapsed="false">
      <c r="D58" s="1" t="n">
        <v>39834431</v>
      </c>
      <c r="E58" s="1" t="n">
        <v>82608662</v>
      </c>
      <c r="G58" s="1" t="n">
        <v>11</v>
      </c>
      <c r="H58" s="1" t="n">
        <f aca="false">MOD(D58,1000)</f>
        <v>431</v>
      </c>
      <c r="I58" s="1" t="n">
        <f aca="false">MOD(E58, 1000)</f>
        <v>662</v>
      </c>
    </row>
    <row r="59" customFormat="false" ht="12.75" hidden="false" customHeight="false" outlineLevel="0" collapsed="false">
      <c r="D59" s="1" t="n">
        <v>230</v>
      </c>
      <c r="E59" s="1" t="n">
        <v>84781560</v>
      </c>
      <c r="G59" s="1" t="n">
        <v>12</v>
      </c>
      <c r="H59" s="1" t="n">
        <f aca="false">MOD(D59,1000)</f>
        <v>230</v>
      </c>
      <c r="I59" s="1" t="n">
        <f aca="false">MOD(E59, 1000)</f>
        <v>560</v>
      </c>
    </row>
    <row r="60" customFormat="false" ht="12.75" hidden="false" customHeight="false" outlineLevel="0" collapsed="false">
      <c r="D60" s="1" t="n">
        <v>10228016</v>
      </c>
      <c r="E60" s="1" t="n">
        <v>21671231</v>
      </c>
      <c r="G60" s="1" t="n">
        <v>13</v>
      </c>
      <c r="H60" s="1" t="n">
        <f aca="false">MOD(D60,1000)</f>
        <v>16</v>
      </c>
      <c r="I60" s="1" t="n">
        <f aca="false">MOD(E60, 1000)</f>
        <v>231</v>
      </c>
    </row>
    <row r="61" customFormat="false" ht="12.75" hidden="false" customHeight="false" outlineLevel="0" collapsed="false">
      <c r="D61" s="1" t="n">
        <v>270</v>
      </c>
      <c r="E61" s="1" t="n">
        <v>28416596</v>
      </c>
      <c r="G61" s="1" t="n">
        <v>14</v>
      </c>
      <c r="H61" s="1" t="n">
        <f aca="false">MOD(D61,1000)</f>
        <v>270</v>
      </c>
      <c r="I61" s="1" t="n">
        <f aca="false">MOD(E61, 1000)</f>
        <v>596</v>
      </c>
    </row>
    <row r="62" customFormat="false" ht="12.75" hidden="false" customHeight="false" outlineLevel="0" collapsed="false">
      <c r="D62" s="1" t="n">
        <v>15576061</v>
      </c>
      <c r="E62" s="1" t="n">
        <v>95607328</v>
      </c>
      <c r="G62" s="1" t="n">
        <v>15</v>
      </c>
      <c r="H62" s="1" t="n">
        <f aca="false">MOD(D62,1000)</f>
        <v>61</v>
      </c>
      <c r="I62" s="1" t="n">
        <v>410</v>
      </c>
    </row>
    <row r="69" customFormat="false" ht="12.75" hidden="false" customHeight="false" outlineLevel="0" collapsed="false">
      <c r="F69" s="1" t="s">
        <v>49</v>
      </c>
    </row>
    <row r="70" customFormat="false" ht="12.75" hidden="false" customHeight="false" outlineLevel="0" collapsed="false">
      <c r="F70" s="1" t="s">
        <v>50</v>
      </c>
    </row>
    <row r="71" customFormat="false" ht="12.75" hidden="false" customHeight="false" outlineLevel="0" collapsed="false">
      <c r="F71" s="1" t="s">
        <v>51</v>
      </c>
    </row>
    <row r="72" customFormat="false" ht="12.75" hidden="false" customHeight="false" outlineLevel="0" collapsed="false">
      <c r="F72" s="1" t="s">
        <v>52</v>
      </c>
    </row>
    <row r="73" customFormat="false" ht="12.75" hidden="false" customHeight="false" outlineLevel="0" collapsed="false">
      <c r="F73" s="1" t="s">
        <v>53</v>
      </c>
    </row>
    <row r="74" customFormat="false" ht="12.75" hidden="false" customHeight="false" outlineLevel="0" collapsed="false">
      <c r="F74" s="1" t="s">
        <v>54</v>
      </c>
    </row>
    <row r="75" customFormat="false" ht="12.75" hidden="false" customHeight="false" outlineLevel="0" collapsed="false">
      <c r="F75" s="1" t="s">
        <v>55</v>
      </c>
    </row>
    <row r="76" customFormat="false" ht="12.75" hidden="false" customHeight="false" outlineLevel="0" collapsed="false">
      <c r="F76" s="1" t="s">
        <v>56</v>
      </c>
    </row>
    <row r="77" customFormat="false" ht="12.75" hidden="false" customHeight="false" outlineLevel="0" collapsed="false">
      <c r="F77" s="1" t="s">
        <v>57</v>
      </c>
    </row>
    <row r="78" customFormat="false" ht="12.75" hidden="false" customHeight="false" outlineLevel="0" collapsed="false">
      <c r="F78" s="1" t="s">
        <v>58</v>
      </c>
    </row>
    <row r="79" customFormat="false" ht="12.75" hidden="false" customHeight="false" outlineLevel="0" collapsed="false">
      <c r="F79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2025-01-07T21:43:04Z</dcterms:created>
  <dc:creator/>
  <dc:description/>
  <dc:language>en-CA</dc:language>
  <cp:lastModifiedBy/>
  <dcterms:modified xsi:type="dcterms:W3CDTF">2025-11-25T11:25:03Z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